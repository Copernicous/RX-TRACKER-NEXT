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ADES TAMPA Detail" sheetId="1" r:id="rId5"/>
    <sheet state="visible" name="DAILY GLADES" sheetId="2" r:id="rId6"/>
    <sheet state="visible" name="DORAL DETAIL" sheetId="3" r:id="rId7"/>
    <sheet state="visible" name="Resumen" sheetId="4" r:id="rId8"/>
    <sheet state="visible" name="Sheet20" sheetId="5" r:id="rId9"/>
    <sheet state="visible" name="MAY1518" sheetId="6" r:id="rId10"/>
    <sheet state="visible" name="MAY-0115" sheetId="7" r:id="rId11"/>
    <sheet state="visible" name="APRIL 15-30" sheetId="8" r:id="rId12"/>
  </sheets>
  <definedNames>
    <definedName hidden="1" localSheetId="0" name="_xlnm._FilterDatabase">'GLADES TAMPA Detail'!$A$1:$AB$980</definedName>
    <definedName hidden="1" localSheetId="1" name="_xlnm._FilterDatabase">'DAILY GLADES'!$A$1:$J$979</definedName>
    <definedName hidden="1" localSheetId="2" name="_xlnm._FilterDatabase">'DORAL DETAIL'!$A$1:$AA$993</definedName>
    <definedName hidden="1" localSheetId="4" name="_xlnm._FilterDatabase">Sheet20!$A$1:$Z$1001</definedName>
    <definedName hidden="1" localSheetId="7" name="_xlnm._FilterDatabase">'APRIL 15-30'!$A$1:$AD$992</definedName>
  </definedNames>
  <calcPr/>
</workbook>
</file>

<file path=xl/sharedStrings.xml><?xml version="1.0" encoding="utf-8"?>
<sst xmlns="http://schemas.openxmlformats.org/spreadsheetml/2006/main" count="6612" uniqueCount="2061">
  <si>
    <t xml:space="preserve"> </t>
  </si>
  <si>
    <t>CLIENT</t>
  </si>
  <si>
    <t>DOB</t>
  </si>
  <si>
    <t>LOCATION</t>
  </si>
  <si>
    <t>TELEFONO</t>
  </si>
  <si>
    <t>DRIVER</t>
  </si>
  <si>
    <t>ENVELOPE</t>
  </si>
  <si>
    <t xml:space="preserve">Mabel Hernandez </t>
  </si>
  <si>
    <t xml:space="preserve"> 3421 Pico Dr Tampa Florida 33614 </t>
  </si>
  <si>
    <t>ALEJANDRO-LAKELAND</t>
  </si>
  <si>
    <t xml:space="preserve">María Mercedes Hernandez </t>
  </si>
  <si>
    <t>6905 concord dr Apto A Tampa.Fl 33614</t>
  </si>
  <si>
    <t xml:space="preserve">Dayana Cutiño Napoles </t>
  </si>
  <si>
    <t xml:space="preserve"> 14136 Payne st Spring Hill fl 34609</t>
  </si>
  <si>
    <t xml:space="preserve"> (786) 412-0227</t>
  </si>
  <si>
    <t xml:space="preserve">Liudmari Nunez </t>
  </si>
  <si>
    <t>4518 W Clifton st Tampa FL33614</t>
  </si>
  <si>
    <t>1 (786) 768-3370</t>
  </si>
  <si>
    <t>Meily Perez Nunez</t>
  </si>
  <si>
    <t xml:space="preserve">Yoelsi Colina Martinez </t>
  </si>
  <si>
    <t xml:space="preserve"> 6712 W Clifton St Tampa Florida 33634</t>
  </si>
  <si>
    <t>(305) 417-1225</t>
  </si>
  <si>
    <t xml:space="preserve">Danays Rodriguez Fumero </t>
  </si>
  <si>
    <t xml:space="preserve"> (786) 278-5602</t>
  </si>
  <si>
    <t xml:space="preserve">Rudimel Garcia </t>
  </si>
  <si>
    <t xml:space="preserve"> 3132w lambright st apto 508 Tampa Florida 33614</t>
  </si>
  <si>
    <t>(813) 760-1523</t>
  </si>
  <si>
    <t>Lesdiany Gomez Sanchez</t>
  </si>
  <si>
    <t xml:space="preserve"> 2115 w marianna st tampa FL 33612 </t>
  </si>
  <si>
    <t>(656) 203-8879</t>
  </si>
  <si>
    <t>Sandra Cabrera</t>
  </si>
  <si>
    <t>(305) 318-2167</t>
  </si>
  <si>
    <t>Laura Leon</t>
  </si>
  <si>
    <t>(813)531-2471</t>
  </si>
  <si>
    <t>Armando Alvarez</t>
  </si>
  <si>
    <t>813-318-2701</t>
  </si>
  <si>
    <t>Ariel Gonzalez</t>
  </si>
  <si>
    <t>813-294-2001</t>
  </si>
  <si>
    <t>Idania Perez</t>
  </si>
  <si>
    <t>786-399-3447</t>
  </si>
  <si>
    <t>Yessel Fraga</t>
  </si>
  <si>
    <t>786-915-0378</t>
  </si>
  <si>
    <t>Abel Vinas</t>
  </si>
  <si>
    <t>786-419-8115</t>
  </si>
  <si>
    <t>Yanisleidy Benitez</t>
  </si>
  <si>
    <t>239-849-4369</t>
  </si>
  <si>
    <t>Carlos Fernandez</t>
  </si>
  <si>
    <t>239-832-5138</t>
  </si>
  <si>
    <t>DATE</t>
  </si>
  <si>
    <t>costomers</t>
  </si>
  <si>
    <t>PHONE</t>
  </si>
  <si>
    <t>ADDRESS</t>
  </si>
  <si>
    <t>GLADES-NORTH  MIAMI</t>
  </si>
  <si>
    <t>Arturo E Reyes Grote</t>
  </si>
  <si>
    <t>YAINELIS</t>
  </si>
  <si>
    <t>DELIVERED</t>
  </si>
  <si>
    <t>Niurka Mirtha Bacallao Jauregui</t>
  </si>
  <si>
    <t>Yerlin Mayorquin Pratts</t>
  </si>
  <si>
    <t>Aliety Pratts Jaureguis</t>
  </si>
  <si>
    <t>Randy Pedroso Borrell</t>
  </si>
  <si>
    <t>Alfredo Delgado Estevez</t>
  </si>
  <si>
    <t>Guadalupe Maria Aleman Fundora</t>
  </si>
  <si>
    <t>Patricia Guillen Fajardo</t>
  </si>
  <si>
    <t>Ereanis Destrade Aleman</t>
  </si>
  <si>
    <t>Jany Garcia Mena</t>
  </si>
  <si>
    <t>Kirenia Castellano Linares</t>
  </si>
  <si>
    <t>Melissa Hernandez Rabassa</t>
  </si>
  <si>
    <t>Roberto Hernandez</t>
  </si>
  <si>
    <t>Mayli Chapman</t>
  </si>
  <si>
    <t>Edrey Machado del Sol</t>
  </si>
  <si>
    <t>Anisley Thondique Morales</t>
  </si>
  <si>
    <t>Oyaimee D Cairo</t>
  </si>
  <si>
    <t>Evelyn de la Caridad Vega Calderon</t>
  </si>
  <si>
    <t xml:space="preserve">Fabiana Teresa Landeata Rojas </t>
  </si>
  <si>
    <t>ALEJANDRO</t>
  </si>
  <si>
    <t xml:space="preserve">Yusjana Josefina Rojas Farias </t>
  </si>
  <si>
    <t xml:space="preserve">DIDIANA 4 PACIENTES </t>
  </si>
  <si>
    <t>Carlos Eduardo Landeata Marpa</t>
  </si>
  <si>
    <t>Brandy Cordero Oviedo</t>
  </si>
  <si>
    <t>Sander Adriano Albejas Ramirez</t>
  </si>
  <si>
    <t>Oleysis Gonzalez Servat</t>
  </si>
  <si>
    <t>DIDIANA</t>
  </si>
  <si>
    <t>Arisday Lidia Mendez Antunez</t>
  </si>
  <si>
    <t xml:space="preserve">Cesar A Dominguez Sanchez </t>
  </si>
  <si>
    <t>Rolando Lescaille</t>
  </si>
  <si>
    <t>Kevin Dubrocq</t>
  </si>
  <si>
    <t>TIO</t>
  </si>
  <si>
    <t>Jesus Gabriel Gonzalez de Armas</t>
  </si>
  <si>
    <t>Irmelis de Armas Rodriguez</t>
  </si>
  <si>
    <t>Alberto Camero Rivero</t>
  </si>
  <si>
    <t>Yuliet Hernandez Perez</t>
  </si>
  <si>
    <t>Nayla Ruiz Waterman</t>
  </si>
  <si>
    <t>Yunaikis Vazquez Balbin</t>
  </si>
  <si>
    <t>Cesar Augusto Lopez</t>
  </si>
  <si>
    <t>Ariadnnys Garcia Chacon</t>
  </si>
  <si>
    <t>Aramis Cuenca Guevara</t>
  </si>
  <si>
    <t>Odalys Corp Abascal</t>
  </si>
  <si>
    <t>Naomi Fernandez Daniel</t>
  </si>
  <si>
    <t>Pablo Julio Castillo Perez</t>
  </si>
  <si>
    <t>Hilda Fabre Velazquez</t>
  </si>
  <si>
    <t>Marian Mercedes Landeiro Rojas</t>
  </si>
  <si>
    <t>Idel Nieto Rodriguez</t>
  </si>
  <si>
    <t>GLADES-SW</t>
  </si>
  <si>
    <t>Lazaro Quiroga Gomez</t>
  </si>
  <si>
    <t>Liber Gonzalez</t>
  </si>
  <si>
    <t>Roney Cordero Fleire</t>
  </si>
  <si>
    <t>Merlis Navidia Figueredo</t>
  </si>
  <si>
    <t>14 DIDIANA 6 + ALEJANDRO 8</t>
  </si>
  <si>
    <t>Maritza Gonzalez</t>
  </si>
  <si>
    <t>Eduardo Rene Sayas</t>
  </si>
  <si>
    <t>Yosniel Iglesias</t>
  </si>
  <si>
    <t>Jose Angel Hernandez</t>
  </si>
  <si>
    <t>02/29/1998</t>
  </si>
  <si>
    <t xml:space="preserve">Jenifer Roman Hernandez </t>
  </si>
  <si>
    <t>Yurinedis Escalona</t>
  </si>
  <si>
    <t>Caridad Esteno</t>
  </si>
  <si>
    <t>Mairelis Gonzalez</t>
  </si>
  <si>
    <t>Oddalayn Castro J</t>
  </si>
  <si>
    <t>PREGUNTAR DIDIANA</t>
  </si>
  <si>
    <t>Leyanis Moreno</t>
  </si>
  <si>
    <t>Mabel E Melina Lugo  Brito</t>
  </si>
  <si>
    <t>Carlos Alejandro Placencia</t>
  </si>
  <si>
    <t>Sara M Giraudy Munoz</t>
  </si>
  <si>
    <t>Yariset Palacio Alvarez</t>
  </si>
  <si>
    <t>Reinier Antonio Castillo Yonce</t>
  </si>
  <si>
    <t>Diosvany Quesada Garcia</t>
  </si>
  <si>
    <t>Pedro Osvaldo Rivas Carmona</t>
  </si>
  <si>
    <t>Jose Garcia Cabrera</t>
  </si>
  <si>
    <t>Wittman Coca Gonzalez</t>
  </si>
  <si>
    <t>Denia Lopez Gonzalez</t>
  </si>
  <si>
    <t>Beatriz Martinez Monne</t>
  </si>
  <si>
    <t>Pedro Julio Quintana Cabrera</t>
  </si>
  <si>
    <t>Mayret Castell</t>
  </si>
  <si>
    <t>Rosa Maria Diaz Leyva</t>
  </si>
  <si>
    <t>Barbara Padron Toledo</t>
  </si>
  <si>
    <t>Leslie Torres Felipe</t>
  </si>
  <si>
    <t>Surelys Cabanas Ruiz</t>
  </si>
  <si>
    <t>Lidisbet Rodriguez Verdecia</t>
  </si>
  <si>
    <t>Jessica Suarez Alfonso</t>
  </si>
  <si>
    <t>Yahiza Castillo Aleaga</t>
  </si>
  <si>
    <t>Roxana Wilson Bernal</t>
  </si>
  <si>
    <t>Emily Rabelo Rivera</t>
  </si>
  <si>
    <t xml:space="preserve">Luxi Perez Hidalgo </t>
  </si>
  <si>
    <t>Luis Perez Hidalgo</t>
  </si>
  <si>
    <t>Maritza Brinones Viltres</t>
  </si>
  <si>
    <t>Vinicio de Jesus Leal Davila</t>
  </si>
  <si>
    <t>Luis Roberto Cartaya</t>
  </si>
  <si>
    <t>Lisbet Rodriguez Ceballo</t>
  </si>
  <si>
    <t>Niklas Revilla Parra</t>
  </si>
  <si>
    <t>Marzelis Garcia Gonzales</t>
  </si>
  <si>
    <t>Estefania Duque</t>
  </si>
  <si>
    <t>Raudel Stevens Trapaga</t>
  </si>
  <si>
    <t>Yisell Placeres Valdes</t>
  </si>
  <si>
    <t>ALEXANDER HERNANDEZ ECHEMENDIA</t>
  </si>
  <si>
    <t>BARBARA LARA</t>
  </si>
  <si>
    <t>PEACE EKENWAOSI</t>
  </si>
  <si>
    <t>Yulier Canizares Torres</t>
  </si>
  <si>
    <t>Adriel Torriente Pompa</t>
  </si>
  <si>
    <t>Yadiel Gonzalez Cantero</t>
  </si>
  <si>
    <t>Sheila Abreu Junco</t>
  </si>
  <si>
    <t>Yalta Rodriguez Ruiz</t>
  </si>
  <si>
    <t>Jessica Mola</t>
  </si>
  <si>
    <t>Gina Maria Arango</t>
  </si>
  <si>
    <t>Elisa Elena Garcia Pichardo</t>
  </si>
  <si>
    <t>Eulogio Duardo Amador</t>
  </si>
  <si>
    <t>Jonathan Barros Torres</t>
  </si>
  <si>
    <t>Ines Rodriguez Leonard</t>
  </si>
  <si>
    <t>Helen Rivero</t>
  </si>
  <si>
    <t>Ines Urribarri  Rodriguez</t>
  </si>
  <si>
    <t>Edy Alberto Martinez</t>
  </si>
  <si>
    <t>Sandra Thope Reynaldo</t>
  </si>
  <si>
    <t>Maykel Rodriguez</t>
  </si>
  <si>
    <t>Dianni Gonzalez</t>
  </si>
  <si>
    <t>Mislady Alfonso Rodriguez</t>
  </si>
  <si>
    <t>Jose Ramon Fabelo</t>
  </si>
  <si>
    <t>Yaime Vasco Barrera</t>
  </si>
  <si>
    <t>Diana Guevara</t>
  </si>
  <si>
    <t xml:space="preserve">Carlos Iglesias </t>
  </si>
  <si>
    <t>LESLANY FERRO CARDULIS</t>
  </si>
  <si>
    <t>MARTIN AGUILA CAMPO</t>
  </si>
  <si>
    <t>IRENE GONZÁLEZ ARIAS</t>
  </si>
  <si>
    <t>DAYANS PEREZ ESCOBAR</t>
  </si>
  <si>
    <t>YORDANKA OLIVA</t>
  </si>
  <si>
    <t>OSLAYNE HUNG CASTANEDA</t>
  </si>
  <si>
    <t>KETTY DOMINGUEZ</t>
  </si>
  <si>
    <t>MARIO PÓRTELA</t>
  </si>
  <si>
    <t>DAYMIR GUTIERRES MATOS</t>
  </si>
  <si>
    <t>ERNESTO CHACÓN</t>
  </si>
  <si>
    <t>AMELIA  LEDEA</t>
  </si>
  <si>
    <t>OSVALDO AGUILERA</t>
  </si>
  <si>
    <t>OLGA BOBADILLA</t>
  </si>
  <si>
    <t xml:space="preserve"> ANGELA DILME MEDINA </t>
  </si>
  <si>
    <t>JORGE ALFONSO RODRÍGUEZ</t>
  </si>
  <si>
    <t xml:space="preserve">BRAVO LUIS </t>
  </si>
  <si>
    <t>CINDY MARTA CABRERA</t>
  </si>
  <si>
    <t>MIRIAN HERNANDEZ</t>
  </si>
  <si>
    <t>LAZARO MARTINEZ</t>
  </si>
  <si>
    <r>
      <t xml:space="preserve">YULIA </t>
    </r>
    <r>
      <rPr>
        <rFont val="Arial"/>
        <color rgb="FF000000"/>
      </rPr>
      <t xml:space="preserve">SANTANA GONZALEZ </t>
    </r>
  </si>
  <si>
    <t>ALEJANDRO MACHADO PÉREZ</t>
  </si>
  <si>
    <t>MARTA BENEMELIS</t>
  </si>
  <si>
    <t xml:space="preserve">RAUL ALLEN CARDONA </t>
  </si>
  <si>
    <t>MARIA FRESNEDA</t>
  </si>
  <si>
    <t>GUSTAVO RODRÍGUEZ</t>
  </si>
  <si>
    <t>RAYSA GRACIA</t>
  </si>
  <si>
    <t>ARLHEY AMAYA</t>
  </si>
  <si>
    <t>MAGALY SANCHEZ</t>
  </si>
  <si>
    <t>EDUARDO PEDROSO ANGULO</t>
  </si>
  <si>
    <t>CARLOS TRINIDAD MÁRQUEZ</t>
  </si>
  <si>
    <t>DIANELY GARCIA PIMENTEL</t>
  </si>
  <si>
    <t>IRIALIS BERNAL HERNANDEZ</t>
  </si>
  <si>
    <t>ROXANA MIJARES</t>
  </si>
  <si>
    <t>KAROL SALGADO</t>
  </si>
  <si>
    <t>ANA GRANJA</t>
  </si>
  <si>
    <t>YUDIT CABEZAS GALDOS</t>
  </si>
  <si>
    <t>YUNIESKA MEJIAS</t>
  </si>
  <si>
    <t>KARISLEIDYS SOLER CASTILLO</t>
  </si>
  <si>
    <t>YUNIESKY. LEON FIALLO</t>
  </si>
  <si>
    <t>DAYMI MASSIP</t>
  </si>
  <si>
    <t>LEYANIT PEREZ CONSUEGRA</t>
  </si>
  <si>
    <t>MAIDELY SELENE GONZALEZ</t>
  </si>
  <si>
    <t>EDUARDO LEON HERRERA</t>
  </si>
  <si>
    <t>DENIA MARRERO BORREL</t>
  </si>
  <si>
    <t>GILBERTO TUTTLE RIVERA</t>
  </si>
  <si>
    <t>BARBARA PEREZ PERDOMO</t>
  </si>
  <si>
    <t>MIRIAM PERDOMO MÉRIDA</t>
  </si>
  <si>
    <t xml:space="preserve">LOURDES TORRES FALCON </t>
  </si>
  <si>
    <t xml:space="preserve">RAUK CURBELO </t>
  </si>
  <si>
    <t>OSMEL CUBAS</t>
  </si>
  <si>
    <t xml:space="preserve">WILMER PEREZ </t>
  </si>
  <si>
    <t>SONAIMI ONEJA CAMEJO</t>
  </si>
  <si>
    <t>MELISSA DUARDO AGUILAR</t>
  </si>
  <si>
    <t>MARIO MARTINEZ</t>
  </si>
  <si>
    <t>JORGE AGUILA QUINTANA</t>
  </si>
  <si>
    <t>YANELIS RODRIGUEZ</t>
  </si>
  <si>
    <t>LIZ MORRERA FIGUEROA</t>
  </si>
  <si>
    <t xml:space="preserve">MELISA PERDOMO </t>
  </si>
  <si>
    <t>AIDA AGUILAR BRAVO</t>
  </si>
  <si>
    <t>MAYDOLIS GASSO</t>
  </si>
  <si>
    <t>ANYELO ARGOTE MARINO</t>
  </si>
  <si>
    <t>JAVIER VALDES</t>
  </si>
  <si>
    <t>REINER MORALES ESPINOSA</t>
  </si>
  <si>
    <t>YUSNIER ORDOÑEZ GONZALEZ</t>
  </si>
  <si>
    <t>AKINA LUIS CASTANER</t>
  </si>
  <si>
    <t>YURAMILIS VALDES</t>
  </si>
  <si>
    <t>YANELIS VENZOL</t>
  </si>
  <si>
    <t>YULIEDYS LAZCANO NARANJO</t>
  </si>
  <si>
    <t xml:space="preserve">AMADA VARGAS </t>
  </si>
  <si>
    <t>CLAUDIA FERRER HERNANDEZ</t>
  </si>
  <si>
    <t>JAIRO HERRERA RIVERO</t>
  </si>
  <si>
    <t>YEILIS GOMES</t>
  </si>
  <si>
    <t xml:space="preserve"> GLADES HMST</t>
  </si>
  <si>
    <t>LOIPA ORTEGA CARBALLO</t>
  </si>
  <si>
    <t>MARUBENIS LOZANO RODRIGUEZ</t>
  </si>
  <si>
    <t>LAZARA RODRIGUEZ MACHIN</t>
  </si>
  <si>
    <t xml:space="preserve">ADELA ALINA ESCOBAR </t>
  </si>
  <si>
    <t>JORGE PAZ CASTRO</t>
  </si>
  <si>
    <t>YUNISLEIDYS PEREZ GRAVERAN</t>
  </si>
  <si>
    <t>ALEJANDRO GARRIDO POSADA</t>
  </si>
  <si>
    <t>DANIEL D. RODRIGUEZ</t>
  </si>
  <si>
    <t xml:space="preserve"> RENE VILLASMIL PINO</t>
  </si>
  <si>
    <t>ADA LEXYS HORTA PEREZ</t>
  </si>
  <si>
    <t>ADRIAN MELIAN</t>
  </si>
  <si>
    <t xml:space="preserve">ANDY PEREZ SERRANO </t>
  </si>
  <si>
    <t>ANGELA NEYRA</t>
  </si>
  <si>
    <t>ARELIS DE LA CARIDAD PEREZ CORDERO</t>
  </si>
  <si>
    <t>AYLE RAMIRES DELGADO</t>
  </si>
  <si>
    <t>CARLOS ALBERTO ROMERO</t>
  </si>
  <si>
    <t>DAVID HERNANDEZ MACHIN</t>
  </si>
  <si>
    <t>DAYANA QUIROS HERNANDEZ</t>
  </si>
  <si>
    <t>DAYLAN TERRY DIAZ</t>
  </si>
  <si>
    <t>ELIZABETH VALDEZ</t>
  </si>
  <si>
    <t>EMILIO RAMOS ACOSTA</t>
  </si>
  <si>
    <t>ERNESTO RORIGUEZ PINO</t>
  </si>
  <si>
    <t>GIOVANI RODRIGUEZ ORAMAS</t>
  </si>
  <si>
    <t xml:space="preserve">IDALMIS MACHIN TORRES </t>
  </si>
  <si>
    <t>JANET DE LA CARIDAD LOPEZ OCHOA</t>
  </si>
  <si>
    <t>JOSE D CORNEJO</t>
  </si>
  <si>
    <t xml:space="preserve">JOSE LUIS HERNANDEZ </t>
  </si>
  <si>
    <t>JUAN IMMER YABUR DE LA CRUZ</t>
  </si>
  <si>
    <t xml:space="preserve">JULIO RODRIGUEZ </t>
  </si>
  <si>
    <t>LASIE GOMEZ DIAZ</t>
  </si>
  <si>
    <t>LAZARO A CARRASCO MARTINEZ</t>
  </si>
  <si>
    <t>LIDIA DIAZ TOLEDO</t>
  </si>
  <si>
    <t>LISBANY CASTRO</t>
  </si>
  <si>
    <t>LISVENIA PEREZ ENRRIQUE</t>
  </si>
  <si>
    <t xml:space="preserve">MANUEL HEREDIA </t>
  </si>
  <si>
    <t xml:space="preserve">MARIBEL CARABALLO MARERRO </t>
  </si>
  <si>
    <t>MIDIALA LEZCANO SANCHEZ</t>
  </si>
  <si>
    <t xml:space="preserve">MIRNA GARCIA ASPRON </t>
  </si>
  <si>
    <t>NELSY BUZZIZ</t>
  </si>
  <si>
    <t>OLGA DEL CARMEN CEBALLOS</t>
  </si>
  <si>
    <t>RENE CORRALES MEDEROS</t>
  </si>
  <si>
    <t>ROLANDO GARCIA VALDEZ</t>
  </si>
  <si>
    <t xml:space="preserve">SUTNEY LOPEZ ESTEVEZ </t>
  </si>
  <si>
    <t>VICTOR DE JESUS GONZALEZ DE PABLOS</t>
  </si>
  <si>
    <t>VIVIANA BARRERA HERNANDEZ</t>
  </si>
  <si>
    <t xml:space="preserve">XIOMARA CARMONA ARMENTEROS </t>
  </si>
  <si>
    <t>YENNEY MERCEDES MATOS</t>
  </si>
  <si>
    <t>YOAN GONZALEZ</t>
  </si>
  <si>
    <t>YOANNY SALGADO</t>
  </si>
  <si>
    <t>YOEL TAMAYO SARIOL</t>
  </si>
  <si>
    <t>YONATHAN ORTIZ QUINTERO</t>
  </si>
  <si>
    <t>YORDANKA RODRIGUEZ</t>
  </si>
  <si>
    <t>YUNELKIS GARCIA MARTINEZ</t>
  </si>
  <si>
    <t>YUNIA SAN ROMAN MORENO</t>
  </si>
  <si>
    <t>DAYAN BAEZ FUENTES</t>
  </si>
  <si>
    <t>MIRIAM FERNANDEZ</t>
  </si>
  <si>
    <t>RAFAEL ALVAREZ</t>
  </si>
  <si>
    <t>YOELVIS MONTEAGUDO CASTILLO</t>
  </si>
  <si>
    <t>FRANK BETANCOUR MONTES</t>
  </si>
  <si>
    <t>ISMARAY GUARDIOLA</t>
  </si>
  <si>
    <t>ALEJANDRO GUZMAN SUAZO</t>
  </si>
  <si>
    <t>YADIRA MOLINA CORDERO</t>
  </si>
  <si>
    <t>BARABARA RUIZ ALONZO</t>
  </si>
  <si>
    <t>AMY MERCEDES RODRIGUEZ</t>
  </si>
  <si>
    <t>ROBERTO GUZMAN GONZALEZ</t>
  </si>
  <si>
    <t xml:space="preserve">PEDRO PABLO ESTRADA </t>
  </si>
  <si>
    <t>SANDRA CHAVERRA JARAMILLO</t>
  </si>
  <si>
    <t>ERNESTO AGUILERA BAUTE</t>
  </si>
  <si>
    <t>ILLIANIS VILLAURUTA CARDENAS</t>
  </si>
  <si>
    <t xml:space="preserve">ESPERANZA OLIVA TORRES </t>
  </si>
  <si>
    <t xml:space="preserve">JOAN FUNDORA </t>
  </si>
  <si>
    <t>ALAIN ARCHER KEIBER</t>
  </si>
  <si>
    <t>JOSE OLANO</t>
  </si>
  <si>
    <t xml:space="preserve">ANEIXIS FRANCO  GONZALEZ </t>
  </si>
  <si>
    <t>LUZ ZAMORA BERMUDES</t>
  </si>
  <si>
    <t>JULIA VAZQUEZ</t>
  </si>
  <si>
    <t>KIRENIA CAPOTE PINERO</t>
  </si>
  <si>
    <t>LEONARDO ALFARO CARBALLO</t>
  </si>
  <si>
    <t>RALDY PERALTA MARRERO</t>
  </si>
  <si>
    <t>IRAIDA GONGORA PEREZ</t>
  </si>
  <si>
    <t>HECTOR MIGUEL MARINO</t>
  </si>
  <si>
    <t>IDELGRADES NIEVES</t>
  </si>
  <si>
    <t>VICTORIA PAOLA REYES</t>
  </si>
  <si>
    <t>JORGE ENRIQUE RAMOS CABRERA</t>
  </si>
  <si>
    <t xml:space="preserve">MISLADY BARRUETO </t>
  </si>
  <si>
    <t>MIRIELY TORRES BARRIOS</t>
  </si>
  <si>
    <t>MAIRELIS FUENTES MARTINEZ</t>
  </si>
  <si>
    <t>ANA B CASTILLO</t>
  </si>
  <si>
    <t>DAYRON POEY SANCHEZ</t>
  </si>
  <si>
    <t>RAFAEL GALINDO PENA</t>
  </si>
  <si>
    <t xml:space="preserve">ABRAM AGUSTIN REYES ZAVALA </t>
  </si>
  <si>
    <t>RICHARD HERNANDEZ MORFFI</t>
  </si>
  <si>
    <t>ESTEFANIA CARVACHE MAYORGA</t>
  </si>
  <si>
    <t>KENIA SOTO ALMORA</t>
  </si>
  <si>
    <t>YOISELY TAMARA MENCIA ROJAS</t>
  </si>
  <si>
    <t>LESLY IVETH MENA</t>
  </si>
  <si>
    <t>MARIA L. RAUTE VALDES</t>
  </si>
  <si>
    <t>PAVEL GALANO DIAZ</t>
  </si>
  <si>
    <t>MILENE LEON</t>
  </si>
  <si>
    <t>NO TIENE SERVICIO NO RESPONDE</t>
  </si>
  <si>
    <t>OSCAR NOEL CASTILLO RAYO</t>
  </si>
  <si>
    <t>GLADES-CORAL WAY</t>
  </si>
  <si>
    <t>MABEL FERNANDEZ DEL PINO</t>
  </si>
  <si>
    <t>SAYLI DEL PINO ALVAREZ</t>
  </si>
  <si>
    <t>CARLOS EDUARDO LANDAETA ROJAS</t>
  </si>
  <si>
    <t>MARCOS J DUZAIDES LLOPIZ</t>
  </si>
  <si>
    <t>YANET HERNANDEZ ALON</t>
  </si>
  <si>
    <t>YANIUSKA GONZALEZ DELTORO</t>
  </si>
  <si>
    <t>JENNIFER CASTILLO MALDONADO</t>
  </si>
  <si>
    <t>SURINELLY RODRIGUEZ GUERRA</t>
  </si>
  <si>
    <t>JOSE ENRRIQUE HERNANDEZ PONCE</t>
  </si>
  <si>
    <t>DALIA CARBONEL</t>
  </si>
  <si>
    <t xml:space="preserve">MARIO DIAZ LEON </t>
  </si>
  <si>
    <t>DAYRILYS SANCHEZ MONTOTO</t>
  </si>
  <si>
    <t>CHRISTOPHER PEREZ</t>
  </si>
  <si>
    <t>EMILY P MEDINA CARVACHE</t>
  </si>
  <si>
    <t>ORALIS ABAD LEON</t>
  </si>
  <si>
    <t>DIANABEL ALFONSO</t>
  </si>
  <si>
    <t xml:space="preserve"> ENDIZ GREGORIO SIMON CALDERA QUINTERO</t>
  </si>
  <si>
    <t xml:space="preserve">DAIRON HERNANDEZ PAVON </t>
  </si>
  <si>
    <t xml:space="preserve"> IDALBERTO LUNA GONZALEZ </t>
  </si>
  <si>
    <t>SANTIAGO FLEBES ORTEGA</t>
  </si>
  <si>
    <t>DAYAN RICARDO GARCIA PEREZ</t>
  </si>
  <si>
    <t>LAUREANA MARTINEZ</t>
  </si>
  <si>
    <t>YUSELYN FERNANDEZ</t>
  </si>
  <si>
    <t>PETER JOSEPH HEINLEIN</t>
  </si>
  <si>
    <t>RAYMOND ALVA JR MORRIS</t>
  </si>
  <si>
    <t>ARLENYS AGUERO ALVAREZ</t>
  </si>
  <si>
    <t>ALCIDES ABEL YARTO CARRERO</t>
  </si>
  <si>
    <t>NELSON GARCIA DIAZ</t>
  </si>
  <si>
    <t>YULEIDIS TORRES GARCIA</t>
  </si>
  <si>
    <t>SONIA  DEL CARMEN GUIDO LUGO</t>
  </si>
  <si>
    <t>ISELA YASHIRA ESCOBAR CHAVARRÍA</t>
  </si>
  <si>
    <t>KEIRY OVIEDO</t>
  </si>
  <si>
    <t>786 684 0053</t>
  </si>
  <si>
    <t xml:space="preserve">NO RESPONDE </t>
  </si>
  <si>
    <t>NANCY FERRAN GUERRA</t>
  </si>
  <si>
    <t>MARAY ROJAS GONZALEZ</t>
  </si>
  <si>
    <t>GLORIA ELENA TORUNO</t>
  </si>
  <si>
    <t>LEONARDO DOMÍNGUEZ BARROSO</t>
  </si>
  <si>
    <t>ROBERTO RIVERA CABALLERO JR</t>
  </si>
  <si>
    <t>ROBERTO RIVERA RAVELO</t>
  </si>
  <si>
    <t>YUSNELY GUITERREZ GOMEZ</t>
  </si>
  <si>
    <t xml:space="preserve"> JESENYA EMMA AGUILAR</t>
  </si>
  <si>
    <t>AILEZ FERNANDEZ FROMETRA</t>
  </si>
  <si>
    <t>MICHELLE GONZALEZ GUTIERREZ</t>
  </si>
  <si>
    <t>JESSICA MAYRA ESPINOSA</t>
  </si>
  <si>
    <t>JESUS ORLANDO GONZALEZ</t>
  </si>
  <si>
    <t>DAIRELIS HERNADEZ RODRIGUEZ</t>
  </si>
  <si>
    <t>BRENDA SARAI ANDINO RAMOS</t>
  </si>
  <si>
    <t>ANA LOURDES BARCIA PINEDA</t>
  </si>
  <si>
    <t xml:space="preserve">OSMER HERNANDEZ RODRIGUEZ </t>
  </si>
  <si>
    <t>MADELEINE GARCIA TORRES</t>
  </si>
  <si>
    <t>YAMILET VELAZQUEZ CRUZ</t>
  </si>
  <si>
    <t>LENAY ROJAS GUZMAN</t>
  </si>
  <si>
    <t>YAMILA VELAZQUEZ CRUZ</t>
  </si>
  <si>
    <t>LEIDYN AGRA GONZALEZ</t>
  </si>
  <si>
    <t xml:space="preserve">LUANA TOLEDO  DUPOTE </t>
  </si>
  <si>
    <t xml:space="preserve">YARILIS TORRES GARCIA </t>
  </si>
  <si>
    <t>SILVIO DONES REY</t>
  </si>
  <si>
    <t>GRACIELA GONGORA</t>
  </si>
  <si>
    <t>YULIO JOSE LOPEZ MARTIN</t>
  </si>
  <si>
    <t>YANET JIMENEZ MATO</t>
  </si>
  <si>
    <t>YAQUELIN DIAZ GONZALEZ</t>
  </si>
  <si>
    <t>YANSEL MEDINA DIAZ</t>
  </si>
  <si>
    <t xml:space="preserve">CLAUDIA CAMPS VIDAL </t>
  </si>
  <si>
    <t xml:space="preserve">BEATRIZ JOSEFINA MARQUEZ </t>
  </si>
  <si>
    <t>JANETTE AGUIAR</t>
  </si>
  <si>
    <t>YANET MARRERO</t>
  </si>
  <si>
    <t>NATALIA MARIA BONILLA</t>
  </si>
  <si>
    <t xml:space="preserve">ALEXIS PABLO MADRUGA GARCIA </t>
  </si>
  <si>
    <t xml:space="preserve">LAURA GONZALEZ BAUTE </t>
  </si>
  <si>
    <t>PEDRO ANGEL ZAMORA RIVERO</t>
  </si>
  <si>
    <t xml:space="preserve">OSCAR LEGUEN MONTOYA </t>
  </si>
  <si>
    <t>ISMARAY CARRET GAMEZ</t>
  </si>
  <si>
    <t>LISANDRA AVILA MORENO</t>
  </si>
  <si>
    <t xml:space="preserve">LEIDY MARTINEZ  MARTINEZ </t>
  </si>
  <si>
    <t>CARLOS CAJARAVILLE JIMENEZ</t>
  </si>
  <si>
    <t>AMARILYS CASTILLO FERRIN</t>
  </si>
  <si>
    <t xml:space="preserve">EVELIN DE LA CARIDAD VALDES </t>
  </si>
  <si>
    <t>AYAMEY DE LA CARIDAD GARRIGA GONZALEZ</t>
  </si>
  <si>
    <t>IUSMEL MARTINEZ IGLESIAS</t>
  </si>
  <si>
    <t>YUMISLEIDY VAZQUEZ TORRIENTE</t>
  </si>
  <si>
    <t>DIUVER CISNEROS</t>
  </si>
  <si>
    <t xml:space="preserve">YUDID HERNANDEZ </t>
  </si>
  <si>
    <t>JULIO DORTY SOTOLONGO</t>
  </si>
  <si>
    <t>RAQUEL OCHIL PUENTE</t>
  </si>
  <si>
    <t>BARBARA CHABELI FUENTES OCHIL</t>
  </si>
  <si>
    <t>JOSE MANUEL VALDES</t>
  </si>
  <si>
    <t>MICHEL HAMED FIGUEREDO CARBALLO</t>
  </si>
  <si>
    <t>NORIS SANCHEZ VERANES</t>
  </si>
  <si>
    <t>YAILIN RODRIGUEZ CARDONA</t>
  </si>
  <si>
    <t>MARITZA MONTERO MONTES DE OCA</t>
  </si>
  <si>
    <t>YANET MARRERO LEYVA</t>
  </si>
  <si>
    <t>GEOVANYS GONZALEZ RIERA</t>
  </si>
  <si>
    <t>MIGUEL CAMERO HERNANDEZ</t>
  </si>
  <si>
    <t>ARGELIA LAZCANO SOSA</t>
  </si>
  <si>
    <t>LEYDIS LAURA RUIZ FIGUEREDO</t>
  </si>
  <si>
    <t>ROLANDO FERNANDEZ BIGNOTTE</t>
  </si>
  <si>
    <t>MARIBEL AVILA LEYVA</t>
  </si>
  <si>
    <t xml:space="preserve">JOSE R. PAZ </t>
  </si>
  <si>
    <t>ALIANA BISSET RODRIGUEZ</t>
  </si>
  <si>
    <t>IDELFONSO MARRERO MARTINEZ</t>
  </si>
  <si>
    <t>EDILIA LEYVA FROMETRA</t>
  </si>
  <si>
    <t>JENIFER DE LAS MCDZ DIAZ CUEVAS</t>
  </si>
  <si>
    <t>ELVIS YANES ROSALES</t>
  </si>
  <si>
    <t>DAISY DEL CARMEN QUIÑONES</t>
  </si>
  <si>
    <t xml:space="preserve">AILEC VALIVIA CLEMENTE </t>
  </si>
  <si>
    <t>MARTHA DIAZ GARCIA</t>
  </si>
  <si>
    <t xml:space="preserve">YOLAISY TERESA CABRERA </t>
  </si>
  <si>
    <t>10/31/1071</t>
  </si>
  <si>
    <t>MARIA E JORGE ACEBEDO</t>
  </si>
  <si>
    <t>YUMILEISY RODRIGUEZ GALANO</t>
  </si>
  <si>
    <t xml:space="preserve">OSNIEL SUAREZ NOA </t>
  </si>
  <si>
    <t>HUGO HERNANDEZ LEIVA</t>
  </si>
  <si>
    <t>MARTHA FLEITAS</t>
  </si>
  <si>
    <t xml:space="preserve">MAIKEL ZALDIVAR AVILA </t>
  </si>
  <si>
    <t>MARIZLEYVIS FIGUEREDO RODRIGUEZ</t>
  </si>
  <si>
    <t xml:space="preserve">THALIA DE LA CARIDAD GALLARDO CALZADILLA </t>
  </si>
  <si>
    <t xml:space="preserve">YILIAN NOROÑA HERNANDEZ </t>
  </si>
  <si>
    <t>ANEIVIS ALARCON BETNCOURT</t>
  </si>
  <si>
    <t xml:space="preserve">DAGMAR ORAMAS CARABALLO </t>
  </si>
  <si>
    <t>ALBERTO MENA PRIETO</t>
  </si>
  <si>
    <t>FERNANDO URRA MONTELONGO</t>
  </si>
  <si>
    <t>MAIKEL FERNANDO URRA LICOURT</t>
  </si>
  <si>
    <t xml:space="preserve">WENDY CASTILLO ALMARALES </t>
  </si>
  <si>
    <t xml:space="preserve">RODOLFO FRAZER MENDEZ </t>
  </si>
  <si>
    <t xml:space="preserve">ROSA BLANCA PADRON VALDES </t>
  </si>
  <si>
    <t xml:space="preserve">DAIRON DANIEL TOSTE QUINTANA </t>
  </si>
  <si>
    <t xml:space="preserve">ETHAN JOSE NAVAS CHAVEZ </t>
  </si>
  <si>
    <t>MIRIAM CHAVEZ BUSTILLO</t>
  </si>
  <si>
    <t>GLORIA CZINGELLY</t>
  </si>
  <si>
    <t xml:space="preserve">YOADRYS PEREZ GONZALEZ </t>
  </si>
  <si>
    <t xml:space="preserve">ENRRIQUETA  ALMANARES GOMEZ </t>
  </si>
  <si>
    <t xml:space="preserve">ADALBERTO QUINTANA BARRERAS </t>
  </si>
  <si>
    <t>ORESTES SANTANA GONZALEZ</t>
  </si>
  <si>
    <t xml:space="preserve">MICHEL  RODRIGUEZ PEREZ </t>
  </si>
  <si>
    <t>CARMEN DELIA DELGADO HERNANDEZ</t>
  </si>
  <si>
    <t xml:space="preserve">LIVAN MANUEL CASTRO LOPEZ </t>
  </si>
  <si>
    <t xml:space="preserve">ALEJANDRO REY FRIAS JAUREGUI </t>
  </si>
  <si>
    <t xml:space="preserve">ZULAIMA ALFONZO CABRERA </t>
  </si>
  <si>
    <t>ROBELIS DARROMAN BRAFOFO</t>
  </si>
  <si>
    <t xml:space="preserve">DOLORES VALDEZ RODRIGUEZ </t>
  </si>
  <si>
    <t>KENIA OTILIA PEREIRA RODRIGUEZ</t>
  </si>
  <si>
    <t>JESSICA LLANES GOMEZ</t>
  </si>
  <si>
    <t xml:space="preserve">CECILIA MAIYENIS DIAZ ALVAREZ </t>
  </si>
  <si>
    <t>GISSELLE DE LA CARIDAD LOBAINA</t>
  </si>
  <si>
    <t xml:space="preserve">JESUS FERNANDEZ </t>
  </si>
  <si>
    <t>BERKIS VIVAS ALVAREZ</t>
  </si>
  <si>
    <t>ZOILA PEREZ CRUZ</t>
  </si>
  <si>
    <t>YADISLEIDY PELAEZ CERVANTES</t>
  </si>
  <si>
    <t>DANIELA MIREYA CASOLA NIESTA</t>
  </si>
  <si>
    <t>YUDIESKI FERRER SANCHEZ</t>
  </si>
  <si>
    <t xml:space="preserve">PEDRO ARMENTEROS </t>
  </si>
  <si>
    <t xml:space="preserve">ANTONIO RIOS FERNANDEZ </t>
  </si>
  <si>
    <t>NOELIA PEDRAZA JIMENEZ</t>
  </si>
  <si>
    <t>ALDEN YASSER FERNANDEZ SUAREZ</t>
  </si>
  <si>
    <t>DAYME PEREZ RIVERO</t>
  </si>
  <si>
    <t>DANIEL SANTIAGO GONZALEZ</t>
  </si>
  <si>
    <t>NORBERTO CHACON BLANCO</t>
  </si>
  <si>
    <t>KEVIN PALENQUE</t>
  </si>
  <si>
    <t xml:space="preserve">JORGE PAZ MUÑOZ </t>
  </si>
  <si>
    <t>JORGE FELIX ROSELLO RAMIREZ</t>
  </si>
  <si>
    <t>LOPEZ MARIA ISABEL</t>
  </si>
  <si>
    <t>STEVEN CHAVARRO CARTAGENA</t>
  </si>
  <si>
    <t>HANY RODRIGUEZ FERNANDEZ</t>
  </si>
  <si>
    <t>ANALYE DUANIS RODRIGUEZ</t>
  </si>
  <si>
    <t>RICARDO PULIDO ARMADA</t>
  </si>
  <si>
    <t xml:space="preserve">YOANDY ALONSO SANCHEZ </t>
  </si>
  <si>
    <t xml:space="preserve">EXON MANUEL LOPEZ CRUZ </t>
  </si>
  <si>
    <t xml:space="preserve">AILEC PEREZ LIMONTA </t>
  </si>
  <si>
    <t xml:space="preserve">DAYRON VALDEZ FERNANDEZ </t>
  </si>
  <si>
    <t xml:space="preserve">MAGLADYS CASTILLO </t>
  </si>
  <si>
    <t xml:space="preserve">ANAYSI ALVAREZ VAZQUEZ </t>
  </si>
  <si>
    <t>YENISET RODRIGUEZ NARANJO</t>
  </si>
  <si>
    <t>PENDING</t>
  </si>
  <si>
    <t>OSCARLY YULIESKY MARTINEZ DOMINGUEZ</t>
  </si>
  <si>
    <t>DAILI ESTRELLA LEYVA SANCHEZ</t>
  </si>
  <si>
    <t>DAIRI BLANCO CRUZ</t>
  </si>
  <si>
    <t>MARGELY DE LAS MERCEDES CHAVEZ</t>
  </si>
  <si>
    <t>JOSE ANTONIO MORENO ALVAREZ</t>
  </si>
  <si>
    <t xml:space="preserve">MIREYA DIAZ DUARTE </t>
  </si>
  <si>
    <t>ANDY COSTA LORENZO</t>
  </si>
  <si>
    <t>JANNET DEL VALLE VILLAROEL</t>
  </si>
  <si>
    <t xml:space="preserve">DANNA EUZIMAR LOPEZ BUSTAMANTE </t>
  </si>
  <si>
    <t xml:space="preserve">MARLENY SANCHEZ ALVAREZ </t>
  </si>
  <si>
    <t xml:space="preserve">LUISA HERMINIA SUAREZ MANRESA </t>
  </si>
  <si>
    <t xml:space="preserve">YAILENIS OSORIO MARTINEZ </t>
  </si>
  <si>
    <t xml:space="preserve">MIRELA OBREGON MILDESTEIN </t>
  </si>
  <si>
    <t xml:space="preserve">CLARISNEIDYS DE LA CARIDAD RIVALTA </t>
  </si>
  <si>
    <t xml:space="preserve">MARTHA LEYVA DEL TORO </t>
  </si>
  <si>
    <t xml:space="preserve">LUIS ENRIQUE CASTILLO  GAMAZO </t>
  </si>
  <si>
    <t xml:space="preserve">ALIUZKA GUIARTE PENA </t>
  </si>
  <si>
    <t xml:space="preserve"> FE PENA LOBAINA</t>
  </si>
  <si>
    <t>ASTOLFO ENRIQUE CALDERA</t>
  </si>
  <si>
    <t xml:space="preserve">REINIEL DE LA PAZ PEREZ </t>
  </si>
  <si>
    <t>BELKIS MARIA RIVERO RODRIGUEZ</t>
  </si>
  <si>
    <t>SILVIA PRIETO RISCO</t>
  </si>
  <si>
    <t>JOSE ENRIQUE MARICHAL ANGEL BELLO</t>
  </si>
  <si>
    <t>DAYANA VAILLANT ARANDA</t>
  </si>
  <si>
    <t>XIOMARA DEL CARMEN LANDAETA MALPA</t>
  </si>
  <si>
    <t>GRISEIDA DEL CARMEN LANDAETA MALPA</t>
  </si>
  <si>
    <t xml:space="preserve">JOSE MIGUEL PONTE ROJAS </t>
  </si>
  <si>
    <t xml:space="preserve">ANNET AWAD SAADE </t>
  </si>
  <si>
    <t xml:space="preserve">ANTONIO VARONA RODRIGUEZ </t>
  </si>
  <si>
    <t>VICTOR MANUEL PORTELA SALAZAR</t>
  </si>
  <si>
    <t>RAUL BAEZ ALONZO</t>
  </si>
  <si>
    <t>YARIS CADENAS DELGADO</t>
  </si>
  <si>
    <t>YACQUELINE MACHADO</t>
  </si>
  <si>
    <t xml:space="preserve">IGUEL ANGEL ORTIZ </t>
  </si>
  <si>
    <t xml:space="preserve">EMMA MORAIMA FIGUEIRA </t>
  </si>
  <si>
    <t xml:space="preserve">RAYDEL VINENT VAZQUEZ </t>
  </si>
  <si>
    <t xml:space="preserve">LIZAN CALZADILLA CRUZ </t>
  </si>
  <si>
    <t>YHOSLAND PERALTA LOPEZ</t>
  </si>
  <si>
    <t xml:space="preserve">LISDEY HERNANDEZ PADILLA </t>
  </si>
  <si>
    <t xml:space="preserve">NAATHALIA MILANES VELIS </t>
  </si>
  <si>
    <t xml:space="preserve">ERNESTO ABDIEL FEIJOO ZAMORA </t>
  </si>
  <si>
    <t>YUSNEL RODRIGUEZ HIDALGO</t>
  </si>
  <si>
    <t xml:space="preserve">ALBERTO GRANGEL GONZALEZ </t>
  </si>
  <si>
    <t>DORA LINA GUEDES BICHARa</t>
  </si>
  <si>
    <t>GLADYS PEREZ MALO ZUNIGA</t>
  </si>
  <si>
    <t>LAZARO D ORTEGA MENDEZ</t>
  </si>
  <si>
    <t>YAINELYS GARCIA FERNANDEZ</t>
  </si>
  <si>
    <t>YENISLEIDY GONZALEZ</t>
  </si>
  <si>
    <t>DARIUZKA DIAZ GRANDALES</t>
  </si>
  <si>
    <t>DANIELIS MAR PALACIO VIZCANO</t>
  </si>
  <si>
    <t>ALEJANDRO RODRIGUEZ HIDALGO</t>
  </si>
  <si>
    <t>NIELENYS ZUNIGAS OJEDA</t>
  </si>
  <si>
    <t>DANNY DE JESUS PENA GOMEZ</t>
  </si>
  <si>
    <t>645 20774991991</t>
  </si>
  <si>
    <t xml:space="preserve">ANTONIO PEREZ </t>
  </si>
  <si>
    <t>YUREILY ABREU AQUINO</t>
  </si>
  <si>
    <t>KATYA ROSA CASTRO</t>
  </si>
  <si>
    <t xml:space="preserve">YARITZA RUIZ MESA </t>
  </si>
  <si>
    <t>YONIESVEL MEDINA LOAIZA</t>
  </si>
  <si>
    <t xml:space="preserve">IRIS MARIA LEGON GUADA </t>
  </si>
  <si>
    <t xml:space="preserve">KHAMILA CALERO GONZALEZ </t>
  </si>
  <si>
    <t>CHAYANNE SANBRIA IGLESIAS</t>
  </si>
  <si>
    <t>NICOLAS DE BARI COLAS GRAJALES</t>
  </si>
  <si>
    <t>DUNIA CANDELARIA MUCHULI PEÑALVER</t>
  </si>
  <si>
    <t>MILEIDY RIVALTA MONTELIER</t>
  </si>
  <si>
    <t>JAVIER HERNANDEZ GOMEZ</t>
  </si>
  <si>
    <t>REGLA ELENA MARTINEZ CORDOVA</t>
  </si>
  <si>
    <t>MARGARITA DIAZ FERNANDEZ</t>
  </si>
  <si>
    <t>MARIA DE LAS MERCEDEZ DIAZ</t>
  </si>
  <si>
    <t>ANA MARGARITA ALVAREZ MANFREDIZ</t>
  </si>
  <si>
    <t>MILAGROS ELIZET BONILLA RODRIGUEZ</t>
  </si>
  <si>
    <t>NICOLAS ZULUETA ROSELL</t>
  </si>
  <si>
    <t xml:space="preserve">ALFONZO DIAZ </t>
  </si>
  <si>
    <t>SONIA CASTANEDA REYES</t>
  </si>
  <si>
    <t xml:space="preserve">MARIOLYS ROSALES PEREZ </t>
  </si>
  <si>
    <t>YUDIER ALVAREZ IZQUIERDO</t>
  </si>
  <si>
    <t>MILDREISY LEON LASTRE</t>
  </si>
  <si>
    <t xml:space="preserve">NEYDA GOMEZ RODRIGUEZ </t>
  </si>
  <si>
    <t>RAMIRO PENA MORA</t>
  </si>
  <si>
    <t xml:space="preserve">JUDITH MORENO ALVAREZ </t>
  </si>
  <si>
    <t>CRISTIAN MORENO SANCHEZ</t>
  </si>
  <si>
    <t>SISI DEL CARMEN MENDOZA RODRIGUEZ</t>
  </si>
  <si>
    <t>NEIMARYS LEYVA MELIAN</t>
  </si>
  <si>
    <t xml:space="preserve">CARLOS ALBERTO ROJAS CHAVEZ </t>
  </si>
  <si>
    <t xml:space="preserve">EDUARDO DE LA CRUZ </t>
  </si>
  <si>
    <t>YENISEL GUTIERREZ ABREU</t>
  </si>
  <si>
    <t>ALEXEIS GARCIA MARTINEZ</t>
  </si>
  <si>
    <t>YATMARA RICANO MONTEAGUDO</t>
  </si>
  <si>
    <t>KENIA GUTIERREZ</t>
  </si>
  <si>
    <t>YORDANY CABALLERO CROZCO</t>
  </si>
  <si>
    <t>ELINET LICEA CASTANEDA</t>
  </si>
  <si>
    <t xml:space="preserve">RITA SAN MARTIN </t>
  </si>
  <si>
    <t>HIPOLITA ALVAREZ MEZQUIA</t>
  </si>
  <si>
    <t>GRETTER CRUZ PEREZ</t>
  </si>
  <si>
    <t>ELIZABETH DE LA CARIDAD MONTENEGRO</t>
  </si>
  <si>
    <t>MARIA FERNANDA REY COLLAZO</t>
  </si>
  <si>
    <t>RAQUEL PLANA DOMINGUEZ</t>
  </si>
  <si>
    <t>MARTHA FIGUEROA DIAZ</t>
  </si>
  <si>
    <t>RITA MARIA CHAPLE PUCHE</t>
  </si>
  <si>
    <t>ANNIELLY TUR BARRIOS</t>
  </si>
  <si>
    <t>BARBARA STEPHANY TELLEZ CASTELLON</t>
  </si>
  <si>
    <t>EDDY SANDRO CRUZ TAMAYO</t>
  </si>
  <si>
    <t xml:space="preserve">ROBERTO AUGUSTO RAMIREZ SILVA </t>
  </si>
  <si>
    <t xml:space="preserve">CECILIA LA LUZ FONSECA </t>
  </si>
  <si>
    <t xml:space="preserve">YOSMEL ELIAS </t>
  </si>
  <si>
    <t xml:space="preserve">STEPHANE  TOLA MEDINA </t>
  </si>
  <si>
    <t xml:space="preserve">JANETH MERCEDES MARINO PEREZ </t>
  </si>
  <si>
    <t>YASMANY SALAZAR BELDARRAIN</t>
  </si>
  <si>
    <t>ANGEL ARTURO BLANCO PERDOMO</t>
  </si>
  <si>
    <t xml:space="preserve">LUXYS VEGA </t>
  </si>
  <si>
    <t xml:space="preserve">YAMILA LA LUZ FONSECA </t>
  </si>
  <si>
    <t>FREDDY ALEJANDRO CALDERON MATERANO</t>
  </si>
  <si>
    <t>DANAY YUNET SANTIESTEBAN GONZALEZ</t>
  </si>
  <si>
    <t xml:space="preserve">YANET GONZALEZ LEYVA </t>
  </si>
  <si>
    <t xml:space="preserve">YELEIDIS URQUISA REYES </t>
  </si>
  <si>
    <t>MARLLURI COROMOTO MATERANO DE CALDERON</t>
  </si>
  <si>
    <t xml:space="preserve">JOSE IVAN HERNANDEZ </t>
  </si>
  <si>
    <t>PATRICIA MONTERO MONTERO</t>
  </si>
  <si>
    <t>YANITZA MORALES TAMAYO</t>
  </si>
  <si>
    <t xml:space="preserve">ELIAZABETH ARRENCIBA </t>
  </si>
  <si>
    <t>DANIELIS BICHARRA HIDALGO</t>
  </si>
  <si>
    <t>YELIER ALDERETE ALDERETE</t>
  </si>
  <si>
    <t xml:space="preserve">YASMANY LAZARO REVUELTA </t>
  </si>
  <si>
    <t>ANNERIS MENENDEZ BATISTA</t>
  </si>
  <si>
    <t xml:space="preserve">MAIRELYS GUARDADO GARCIA </t>
  </si>
  <si>
    <t xml:space="preserve">MILLIE ANDREA OJEDA GONZALEZ </t>
  </si>
  <si>
    <t xml:space="preserve">ANNY MARIBEL BASORA </t>
  </si>
  <si>
    <t xml:space="preserve">ROGGERS ALEXANDER OROPEZA MARTINEZ </t>
  </si>
  <si>
    <t xml:space="preserve">YAIMELYS RODRIGUEZ LEAL </t>
  </si>
  <si>
    <t>DAIMARA BUENO ALMANZA</t>
  </si>
  <si>
    <t xml:space="preserve">AMARILYS GARCIA </t>
  </si>
  <si>
    <t>MARIANNY MOLINA CARO</t>
  </si>
  <si>
    <t xml:space="preserve">HELEN GRANGEL GUEDES </t>
  </si>
  <si>
    <t xml:space="preserve">ZENAIDA PEREZ </t>
  </si>
  <si>
    <t xml:space="preserve">MARILIN  MARTINEZ CORRALES </t>
  </si>
  <si>
    <t>YOLAYSI CANTERA LARRINAGA</t>
  </si>
  <si>
    <t xml:space="preserve">SERGIO VIGIL CAMALICHE </t>
  </si>
  <si>
    <t>BANDY GARCIA BOLIVAR</t>
  </si>
  <si>
    <t>ROLANDO VALDES VALDES</t>
  </si>
  <si>
    <t>DAYLENE DE LA CAIDAD RODRIGUEZ BARBON</t>
  </si>
  <si>
    <t>JULIO YADIEL ACOSTA KIM</t>
  </si>
  <si>
    <t>YOEL VALLE</t>
  </si>
  <si>
    <t>KENIA GUDIN BORREGO</t>
  </si>
  <si>
    <t>YOAINA VALDES BORREGO</t>
  </si>
  <si>
    <t>JUAN ARIEL GONZALEZ CASTILLO</t>
  </si>
  <si>
    <t>YAIME MARTINEZ ACOSTA</t>
  </si>
  <si>
    <t>JOSE ERNESTO CACIDO GARCIA</t>
  </si>
  <si>
    <t>DAILYS RODRIGUEZ PEREZ</t>
  </si>
  <si>
    <t>LEONARDO ALFONZO ROSAS VERGARA</t>
  </si>
  <si>
    <t>BRENDA NORBELKIS ALVAREZ VERGARA</t>
  </si>
  <si>
    <t>THANIA MARIELY VERGARA</t>
  </si>
  <si>
    <t>LUIS BRAVO FERNANDEZ</t>
  </si>
  <si>
    <t>JENNIFER LOPEZ POZO</t>
  </si>
  <si>
    <t xml:space="preserve"> PRISCILLA REGLA DIAZ </t>
  </si>
  <si>
    <t xml:space="preserve">BEATRIZ GONZALEZ MARTINEZ </t>
  </si>
  <si>
    <t>WALTER BISMARK FLORES ALVAREZ</t>
  </si>
  <si>
    <t xml:space="preserve">OLGA R HERNANDEZ </t>
  </si>
  <si>
    <t xml:space="preserve">DANAY GARCIA GARCIA </t>
  </si>
  <si>
    <t xml:space="preserve">YAMILA SOTOMAYOR GARCERAN </t>
  </si>
  <si>
    <t xml:space="preserve">NOEMI HERNANDEZ MARTIN </t>
  </si>
  <si>
    <t xml:space="preserve">JOEL MARQUES GARCIA </t>
  </si>
  <si>
    <t xml:space="preserve">ROBERTO CARVAJAL MIRANDA </t>
  </si>
  <si>
    <t xml:space="preserve">MARLON ALEJANDRO CHAVEZ ROQUE </t>
  </si>
  <si>
    <t xml:space="preserve">ROSANA SALGADO TERREROS </t>
  </si>
  <si>
    <t xml:space="preserve">JAKYE LOPEZ MENENDEZ </t>
  </si>
  <si>
    <t xml:space="preserve">DAYMARY GONZALEZ RODRIGUEZ </t>
  </si>
  <si>
    <t xml:space="preserve">AHILSA ALMAGUER GARCES </t>
  </si>
  <si>
    <t xml:space="preserve">OMAR CAMACHO LOPEZ </t>
  </si>
  <si>
    <t xml:space="preserve">KENNYA RAMIREZ BONILLA </t>
  </si>
  <si>
    <t>YANET MERY DECORO</t>
  </si>
  <si>
    <t>JACQUELINE CORPORAN</t>
  </si>
  <si>
    <t xml:space="preserve">CARLOS ENRIQUE ORTEGA </t>
  </si>
  <si>
    <t xml:space="preserve">HILDA ODESA GOMEZ HERNANDEZ </t>
  </si>
  <si>
    <t xml:space="preserve">MIGUEL ANTONIO PATINO VASORA </t>
  </si>
  <si>
    <t>ALFAYALIVYS MERCEDEZ LOPEZ</t>
  </si>
  <si>
    <t>ADNIELYS  DIAZ CHALA</t>
  </si>
  <si>
    <t xml:space="preserve">LIZANIA CESPEDEZ PUENTES </t>
  </si>
  <si>
    <t>SABINA LAZAROVNA MARTIN MAMEDOVA</t>
  </si>
  <si>
    <t>BARBARA  YAMILE ALONSO GRANADO</t>
  </si>
  <si>
    <t xml:space="preserve">YANKIEL SANCHEZ ALONSO </t>
  </si>
  <si>
    <t xml:space="preserve">BARBARO JESUS CABRERA RECIO </t>
  </si>
  <si>
    <t xml:space="preserve">DEBORA ESTER MARTINEZ LEYVA </t>
  </si>
  <si>
    <t>MOISES NICOLAS BORREGO CASTANET</t>
  </si>
  <si>
    <t xml:space="preserve">JULISSA ALEXANDRA PENA </t>
  </si>
  <si>
    <t>MILANDDY KAERINA SANTANA LAUREANO</t>
  </si>
  <si>
    <t xml:space="preserve">EDITH MARTINEZ VALDEZ </t>
  </si>
  <si>
    <t xml:space="preserve">NAVILA ZAILA MARTINEZ </t>
  </si>
  <si>
    <t xml:space="preserve">JUSTO GERMAN CRUZ </t>
  </si>
  <si>
    <t>MARIA ALEJANDRA CALDERON CALDERON</t>
  </si>
  <si>
    <t>YENIER KEVIN BATISTA RICARDO</t>
  </si>
  <si>
    <t xml:space="preserve">JUAN RICHARD HERNANDEZ AROCHE </t>
  </si>
  <si>
    <t>02/06/1882</t>
  </si>
  <si>
    <t>MYLENE QUINTANA MONTEAGUDO</t>
  </si>
  <si>
    <t>MYLENE  MONTEAGUDO FERNANDEZ</t>
  </si>
  <si>
    <t xml:space="preserve">DORIS MARIA ROQUE CRUZ </t>
  </si>
  <si>
    <t xml:space="preserve">YAINELIS </t>
  </si>
  <si>
    <t xml:space="preserve">YISEL DE LA CARIDAD HERNANDEZ PONTON </t>
  </si>
  <si>
    <t xml:space="preserve">YANALLI APARICIO TORRES </t>
  </si>
  <si>
    <t xml:space="preserve">MARIA DEL CARMEN LIMA HERNANDEZ </t>
  </si>
  <si>
    <t>LAZARO YOAN HERNANDEZ  MARTI</t>
  </si>
  <si>
    <t xml:space="preserve">AGNIEL HORTA MENDEZ </t>
  </si>
  <si>
    <t>GARINTIA ORPHE CANDO</t>
  </si>
  <si>
    <t>REYNEL FRANCISCO MORALES DUANY</t>
  </si>
  <si>
    <t xml:space="preserve">ORESTES VIAMOTES HECHAVARRIA </t>
  </si>
  <si>
    <t xml:space="preserve">DANIEL AZCONA GUERRA </t>
  </si>
  <si>
    <t>YANEIVI QUINTERO BENITES</t>
  </si>
  <si>
    <t xml:space="preserve">WALFRIDO FRYRE PENA </t>
  </si>
  <si>
    <t xml:space="preserve">YUDEISY MARTI MAZORRA </t>
  </si>
  <si>
    <t xml:space="preserve">AMANDA BARBARA CASTILLO REYES </t>
  </si>
  <si>
    <t>KARLA MARINA BRICENO CORONADO</t>
  </si>
  <si>
    <t xml:space="preserve">BARBARO ABREU CAPOTE </t>
  </si>
  <si>
    <t xml:space="preserve">LUISA VALERIA RAMIREZ REYES </t>
  </si>
  <si>
    <t xml:space="preserve"> ELIZABETH REYES GORDILLO</t>
  </si>
  <si>
    <t xml:space="preserve">ALDEMARO FREDDY CALDERON VARGAS </t>
  </si>
  <si>
    <t>ERICKA PATRICIA CAMACHO OROZCO</t>
  </si>
  <si>
    <t xml:space="preserve">HILARY CHIQUINQUIRA FINOL MOLINA </t>
  </si>
  <si>
    <t xml:space="preserve">DIZMARA MELANIA CRESPO RAMIREZ </t>
  </si>
  <si>
    <t xml:space="preserve">MARIA VICTORIA CASTANEDA ARIAS </t>
  </si>
  <si>
    <t xml:space="preserve">DIEGO ANDRES ZUMIDIO CARDENAS </t>
  </si>
  <si>
    <t>DANLI DIAGO ACHONG</t>
  </si>
  <si>
    <t>YANET SABINO DIAZ</t>
  </si>
  <si>
    <t>AIMELYS VALDEZ ALFONZO</t>
  </si>
  <si>
    <t>LAZARO</t>
  </si>
  <si>
    <t xml:space="preserve">JUAN CARLOS FERNANDEZ </t>
  </si>
  <si>
    <t>NOYLEN JACKELINE PINO AMARO</t>
  </si>
  <si>
    <t xml:space="preserve">ORLANDO GARCIA RODRIGUEZ </t>
  </si>
  <si>
    <t>OVANIS RANZET  RIVERA  URGARTE</t>
  </si>
  <si>
    <t xml:space="preserve">ROSANA PASTO RODRIGUEZ </t>
  </si>
  <si>
    <t>AROON ISAAC ESCALANTE ROMERO</t>
  </si>
  <si>
    <t xml:space="preserve">ANORES EDUARDO CAICEDO LOPEZ </t>
  </si>
  <si>
    <t xml:space="preserve">ALVARO YHEINS DIAZ REYES </t>
  </si>
  <si>
    <t>ANA SANDRA FERNANDEZ LLERENA</t>
  </si>
  <si>
    <t>MARIA KARLA FERRER MARRERO</t>
  </si>
  <si>
    <t xml:space="preserve">ANAY FIGUEROA FERRER </t>
  </si>
  <si>
    <t>ALEJANDRO HERNANDEZ ARENCIBIA</t>
  </si>
  <si>
    <t xml:space="preserve">YANET MILIAN RIOS </t>
  </si>
  <si>
    <t>ADRIANIS BORGES HERNANDEZ</t>
  </si>
  <si>
    <t xml:space="preserve">NIRSO ENRIQUE  LOPEZ SAMACA </t>
  </si>
  <si>
    <t xml:space="preserve">LINDRYC ABELL REPIZO PINA </t>
  </si>
  <si>
    <t>CARLOS IGNACIO  LOPEZ SALAS</t>
  </si>
  <si>
    <t>YUNIER CRESPO BELTRAN</t>
  </si>
  <si>
    <t xml:space="preserve">ARIANA EDILIA MORILLO GUANIPA </t>
  </si>
  <si>
    <t>AIRIN</t>
  </si>
  <si>
    <t>786-578-8633</t>
  </si>
  <si>
    <t>3612 E SHORE RD MIRAMAR FL 33023</t>
  </si>
  <si>
    <t>AIRIM FRANCIS VELAZQUEZ MORILLO</t>
  </si>
  <si>
    <t>786-525-2324</t>
  </si>
  <si>
    <t>5597 N PARK FORT LAUDERDALE 33312</t>
  </si>
  <si>
    <t xml:space="preserve">LUISA JOSEFINA ESTABA </t>
  </si>
  <si>
    <t>305-763-4059</t>
  </si>
  <si>
    <t>2842 SW 22nd Terrace Miami FL 33145</t>
  </si>
  <si>
    <t xml:space="preserve">YUSMARIS LOPEZ MORALES </t>
  </si>
  <si>
    <t>ROSIRAIDA DE LA CARIDAD LOPEZ CORTINA</t>
  </si>
  <si>
    <t>AIDANYS CALDERON VICHE</t>
  </si>
  <si>
    <t xml:space="preserve">AILIN RODRIGIEZ RODRIGUEZ </t>
  </si>
  <si>
    <t xml:space="preserve">DIMELSA SANCHEZ VAZQUEZ </t>
  </si>
  <si>
    <t xml:space="preserve">CLAUDIA SANCHEZ VAZQUEZ </t>
  </si>
  <si>
    <t xml:space="preserve">ADRIAN PERDOMO SOCA </t>
  </si>
  <si>
    <t>SCALET MARIELE COLLINS</t>
  </si>
  <si>
    <t xml:space="preserve">LILIET MONTANE IZQUIERDO </t>
  </si>
  <si>
    <t xml:space="preserve">MERCEDES POLANCO BAEZ </t>
  </si>
  <si>
    <t>OMAIDA JOSEFA RODRIGUEZ RODRIGUEZ</t>
  </si>
  <si>
    <t xml:space="preserve">ANISLEY MONTERO RAMOS </t>
  </si>
  <si>
    <t xml:space="preserve">DIEGO MAURICIO ANTONIO LUDUENA </t>
  </si>
  <si>
    <t>04/12//2000</t>
  </si>
  <si>
    <t xml:space="preserve">LAZARO ALBERTO MONTERO RAMOS </t>
  </si>
  <si>
    <t xml:space="preserve">VICTOR MANUEL ESPINOSA RODRIGUEZ </t>
  </si>
  <si>
    <t xml:space="preserve">ARACELYS CURIEL TORRES </t>
  </si>
  <si>
    <t>ANISLEY MACHADO CONCEPCION</t>
  </si>
  <si>
    <t>PABLO ROBERTO ROSALES REYNOSO</t>
  </si>
  <si>
    <t>07/201988</t>
  </si>
  <si>
    <t xml:space="preserve">DAYLELIS ALFONZO CASTANEDA </t>
  </si>
  <si>
    <t xml:space="preserve">VIVIANA CASTRO PAULA </t>
  </si>
  <si>
    <t xml:space="preserve">YASMIN VIVES SAMBRANA </t>
  </si>
  <si>
    <t xml:space="preserve">YONIA DIAZ MARTINEZ </t>
  </si>
  <si>
    <t>GARDENIA CHAVEZ MOREN</t>
  </si>
  <si>
    <t xml:space="preserve">KIRENIA CUELLAR RAMOS </t>
  </si>
  <si>
    <t xml:space="preserve">PABLO A  MORA SMITH </t>
  </si>
  <si>
    <t>561 360 6333</t>
  </si>
  <si>
    <t>288 PEACOCK ST FORT PIERCE FL 33982</t>
  </si>
  <si>
    <t xml:space="preserve">NANCY CANCIO GIL </t>
  </si>
  <si>
    <t>561 346 9372</t>
  </si>
  <si>
    <t>BELKIS PEREZ CLAVELO</t>
  </si>
  <si>
    <t>827 SW 128 AVE MIAMI FL 33184</t>
  </si>
  <si>
    <t xml:space="preserve">DUVIEL ZAMORA RODRIGUEZ </t>
  </si>
  <si>
    <t>210 504 0002</t>
  </si>
  <si>
    <t>1333 W 49 PL APT 201 33012</t>
  </si>
  <si>
    <t xml:space="preserve">IDELBA BERNAL GOMEZ </t>
  </si>
  <si>
    <t>786 347 9874</t>
  </si>
  <si>
    <t>7331 NW 2ND TER MIAMI FL 33126</t>
  </si>
  <si>
    <t xml:space="preserve">ESTEFANY SCHIRLY CASTILLO </t>
  </si>
  <si>
    <t xml:space="preserve">ANGELA CARDENAS DUQUE </t>
  </si>
  <si>
    <t>561 261 2028</t>
  </si>
  <si>
    <t xml:space="preserve">DANNA OLIVA MEJIAS </t>
  </si>
  <si>
    <t>786 906 6143</t>
  </si>
  <si>
    <t>1334 W42 ND ST APT 3 HIALEAH FL 33012</t>
  </si>
  <si>
    <t xml:space="preserve">DECHSI MARGARITA TABOADA VENEGAS </t>
  </si>
  <si>
    <t>786 740 4878</t>
  </si>
  <si>
    <t>7130 NW 169 ST HIALEAH FL 33015</t>
  </si>
  <si>
    <t xml:space="preserve">YVAN ALBERTO MORENO ARIAS </t>
  </si>
  <si>
    <t>786 806 7668</t>
  </si>
  <si>
    <t>MERCEDES ROIG VALLADARES</t>
  </si>
  <si>
    <t>786 255 9946</t>
  </si>
  <si>
    <t>4525 E 8 TH CT HIALEAH FL 33013</t>
  </si>
  <si>
    <t xml:space="preserve">JOSE ANGEL CONESA OJEDA </t>
  </si>
  <si>
    <t>645 207 3251</t>
  </si>
  <si>
    <t>5814 SW 146 TH CT MIAMI FL 33183</t>
  </si>
  <si>
    <t xml:space="preserve">AMANDA LOPEZ BARRANCO </t>
  </si>
  <si>
    <t>786454 6329</t>
  </si>
  <si>
    <t>8351 SW 30 TH ST MIAMI FL 33155</t>
  </si>
  <si>
    <t>MILAGROS ELENA BARRANCO ALFONSO</t>
  </si>
  <si>
    <t>786 443 4393</t>
  </si>
  <si>
    <t>8361 SW 30 TH ST MIAMI FL 33155</t>
  </si>
  <si>
    <t>MARIA KARLA GUERRA PRIETO</t>
  </si>
  <si>
    <t>1640 SW 83 RD CT MIAMI FL 33155</t>
  </si>
  <si>
    <t>DAVID CARMENATE SOMUANO</t>
  </si>
  <si>
    <t>786 8740963</t>
  </si>
  <si>
    <t>1100 SW 70 AVE APT 204 33177</t>
  </si>
  <si>
    <t xml:space="preserve">CARI JUNET ZAPATA YARLEQUE </t>
  </si>
  <si>
    <t>786 486 8125</t>
  </si>
  <si>
    <t>717 NE 10 TH ST HALLANDALE BEACH FL 33009</t>
  </si>
  <si>
    <t xml:space="preserve">DAYANA EMPERATRIZ FAJARDO ARCELLA </t>
  </si>
  <si>
    <t xml:space="preserve">YIZZEL ZARAYA GILLIS </t>
  </si>
  <si>
    <t>620 W 31 ST ST HIALEAH FL 33012</t>
  </si>
  <si>
    <t xml:space="preserve">ZOHELIA GUZMAN GARCIA </t>
  </si>
  <si>
    <t>17420 SW 119 AVE 33177</t>
  </si>
  <si>
    <t>TANIA RODRIGUEZ MASO</t>
  </si>
  <si>
    <t>786 4546329</t>
  </si>
  <si>
    <t>3131 W 16 AVE LOTE 27 HIALEAH FL 33012</t>
  </si>
  <si>
    <t xml:space="preserve">MAYLIN MARTINEZ AZOZARENA </t>
  </si>
  <si>
    <t>786 948 2736</t>
  </si>
  <si>
    <t>691 HIALEAH DR FL 33010</t>
  </si>
  <si>
    <t xml:space="preserve">ILEANA ISELL MOYA RODRIGUEZ </t>
  </si>
  <si>
    <t>1805 W 56 ST HIALEAH FL 33012</t>
  </si>
  <si>
    <t xml:space="preserve">JANET HERNANDEZ BARRIOS </t>
  </si>
  <si>
    <t>122 SW 96 AVE MIAMI FL 33174</t>
  </si>
  <si>
    <t xml:space="preserve">TERESA DE JESUS SILVA PEREZ </t>
  </si>
  <si>
    <t>786 600 9081</t>
  </si>
  <si>
    <t>1401 SW 67 TH AVE APT 33 MIAMI FL 33144</t>
  </si>
  <si>
    <t xml:space="preserve">ESTARLIN JOSE ZAVALA </t>
  </si>
  <si>
    <t>863 303 2856</t>
  </si>
  <si>
    <t>440 SW 5 TH AVE MIAMI FL 33130</t>
  </si>
  <si>
    <t xml:space="preserve">NIURKA DIAZ RODRIGUEZ </t>
  </si>
  <si>
    <t>1805 W 56 TH ST APT 202 33012</t>
  </si>
  <si>
    <t xml:space="preserve">DAYNIS OTERO RODRIGUEZ </t>
  </si>
  <si>
    <t>9237 NW 121 ST ST HIALEAH GARDENS 33018</t>
  </si>
  <si>
    <t xml:space="preserve">YILKA MAURA PANEQUE VALERINO </t>
  </si>
  <si>
    <t>8992 SW 38 TH ST MIMI FL 33165</t>
  </si>
  <si>
    <t>YAINELIS MONTERO SANABRIA</t>
  </si>
  <si>
    <t>12735 SW 10 TH ST 33184</t>
  </si>
  <si>
    <t>BARBARA JINMAR ACOSTA GALLARDO</t>
  </si>
  <si>
    <t>688 NW 207 ST 3-306 MIAMI GARDENS FL 33169</t>
  </si>
  <si>
    <t>DIANA MERCEDES PUENTES ALBRECHT</t>
  </si>
  <si>
    <t>ALINA D MARTINEZ MARTIN</t>
  </si>
  <si>
    <t>18831 SW 164 TH HOMESTEAD FL 33031</t>
  </si>
  <si>
    <t xml:space="preserve">NANCELI DEL CARMEN BLANCO RAMOS </t>
  </si>
  <si>
    <t>786 4821943</t>
  </si>
  <si>
    <t>3100 SW 19 TH ST 33145</t>
  </si>
  <si>
    <t xml:space="preserve">ODETY MAGALY ROSALES </t>
  </si>
  <si>
    <t>786 3801212</t>
  </si>
  <si>
    <t>7721 NW 7 ST MIAMI FL 33126 APT 215</t>
  </si>
  <si>
    <t xml:space="preserve">DAMILIA MARGARITA  ESPINOSA VAZQUEZ </t>
  </si>
  <si>
    <t>786 295 2880</t>
  </si>
  <si>
    <t>8120 SW 11 ST MIAMI FL 33144</t>
  </si>
  <si>
    <t xml:space="preserve">RAUL MACHO PEREZ </t>
  </si>
  <si>
    <t>9525 SW 171 ST PATH MIAMI FL 33196</t>
  </si>
  <si>
    <t>LETICIA HERNANDEZ BENCOMO</t>
  </si>
  <si>
    <t>754 292 9205</t>
  </si>
  <si>
    <t>781 W 39 TH ST HIALEAHFL 33012</t>
  </si>
  <si>
    <t xml:space="preserve">GREGORIO SANCHEZ GUTIERREZ </t>
  </si>
  <si>
    <t>754 292 8192</t>
  </si>
  <si>
    <t xml:space="preserve">ELLIMAY ORTIZ LOPEZ </t>
  </si>
  <si>
    <t>239 3799495</t>
  </si>
  <si>
    <t>790 E 45 ST HIALEAH FL 33013</t>
  </si>
  <si>
    <t xml:space="preserve">MARIA DEL CAR PORTELLES GOMEZ </t>
  </si>
  <si>
    <t xml:space="preserve">BARBARA PATRICIA SACRE GALINDO </t>
  </si>
  <si>
    <t>161 E 43 RD ST HIALEAH FL 33013</t>
  </si>
  <si>
    <t xml:space="preserve">JACKSON HUERTE RUIZ </t>
  </si>
  <si>
    <t>512 212 6332</t>
  </si>
  <si>
    <t xml:space="preserve">FABIO PALACIO GONZALEZ </t>
  </si>
  <si>
    <t>2960 LE JUNE ROAD CORAL GABLES 33134</t>
  </si>
  <si>
    <t xml:space="preserve">RICARDO PALACIO ALBA </t>
  </si>
  <si>
    <t>786828 8160</t>
  </si>
  <si>
    <t xml:space="preserve">ZENIA MEDINA </t>
  </si>
  <si>
    <t>451 SE 8 ST HOMESTEAD 33033</t>
  </si>
  <si>
    <t xml:space="preserve">YULITZA DEL VALLE PARRA CARDENAS </t>
  </si>
  <si>
    <t>850 NE 207 TH TER BLD 7 APT 202 MIAMI FL 33179</t>
  </si>
  <si>
    <t xml:space="preserve">ALEXANDER ANTONIO </t>
  </si>
  <si>
    <t>1004 NW 33 RD ST APT #2 FL 33127</t>
  </si>
  <si>
    <t xml:space="preserve">YALIXA JOSEFINA ARELLANO MORALES </t>
  </si>
  <si>
    <t>2238 NW 81 ST TER MIAMI FL 33147</t>
  </si>
  <si>
    <t xml:space="preserve">YHONN MANUEL ALVAREZ VERGARA </t>
  </si>
  <si>
    <t>3010 BARACK OBAMA BLVD PARK FL 3023</t>
  </si>
  <si>
    <t xml:space="preserve">YISET MILAGROS SANCHEZ GRILLE </t>
  </si>
  <si>
    <t>421 NW 184 TER MIAMI FL 33169</t>
  </si>
  <si>
    <t xml:space="preserve">SORELIS ALEJANDRA SALAS POLANCO </t>
  </si>
  <si>
    <t>3522 NE 171 ST APT 307 NORTH MIAMI BEACH FL 33160</t>
  </si>
  <si>
    <t xml:space="preserve">PEDRO ENRIQUE PARRA CARDENAS </t>
  </si>
  <si>
    <t>754 236 4425</t>
  </si>
  <si>
    <t>850 NE 207 TH TER APT 202 BLDG 7 MIAMI FL 33179</t>
  </si>
  <si>
    <t xml:space="preserve">ANAY PEREZ CURIAUX </t>
  </si>
  <si>
    <t>3622 SW 8 TH ST APT 106 MIAMI FL 33135</t>
  </si>
  <si>
    <t xml:space="preserve">MARLON GARCIA OCHOA </t>
  </si>
  <si>
    <t>786 56 00124</t>
  </si>
  <si>
    <t>234 E 15 TH ST HILEAH FL 33010</t>
  </si>
  <si>
    <t xml:space="preserve">RAUL DAVID LEMUS ACOSTA </t>
  </si>
  <si>
    <t>17324 NW 74 TH AVE APT 201 HIALEAH FL 33015</t>
  </si>
  <si>
    <t>ARCADIO ALBERTO GONZALEZ CASTILLO</t>
  </si>
  <si>
    <t>2510 NW 204 ST MIAMI FL 33056</t>
  </si>
  <si>
    <t xml:space="preserve">MICHAEL IGLESIAS RAMOS </t>
  </si>
  <si>
    <t>40 W 27 TH ST APT 2 HIALEAH FL 33010</t>
  </si>
  <si>
    <t xml:space="preserve">BARABARA DAYAMI DIAZ GARCIA </t>
  </si>
  <si>
    <t xml:space="preserve">MARIA T HERNANDEZ HERNANDEZ </t>
  </si>
  <si>
    <t xml:space="preserve">5181 W FLAGLER ST APT 6 CORAL GABLES </t>
  </si>
  <si>
    <t xml:space="preserve">LIZ DANIELA CALDERO </t>
  </si>
  <si>
    <t>786 217 2956</t>
  </si>
  <si>
    <t>1371 W 44 ST APT 4</t>
  </si>
  <si>
    <t xml:space="preserve">ILIANA CINTRERAS </t>
  </si>
  <si>
    <t>1371 W 44 TH ST APT 4 HIALEAH FL 33012</t>
  </si>
  <si>
    <t xml:space="preserve">DAYRA GISSELLE JIMENEZ </t>
  </si>
  <si>
    <t>9715 SW 16 TH ST MIAMI FL 33165</t>
  </si>
  <si>
    <t xml:space="preserve">EYLIN SAMUELS HERNANDEZ </t>
  </si>
  <si>
    <t>4731 W 9 TH AVE MIAMI FL 33012</t>
  </si>
  <si>
    <t xml:space="preserve">LIDIA DE LA CARIDAD PARRA CRUZ </t>
  </si>
  <si>
    <t>786 606 5020</t>
  </si>
  <si>
    <t>2286 SW 21 ST 33145</t>
  </si>
  <si>
    <t>DIADNE NODARSE</t>
  </si>
  <si>
    <t>420 NW 12 TH AVE 33128</t>
  </si>
  <si>
    <t xml:space="preserve">LEONEL GONZALEZ </t>
  </si>
  <si>
    <t>9885 NW 28 TH TER 33172</t>
  </si>
  <si>
    <t xml:space="preserve">ABEL GONZALEZ RUIZ </t>
  </si>
  <si>
    <t xml:space="preserve">YUDIEL GONZALEZ FERRERA </t>
  </si>
  <si>
    <t>3205 W 16 AVE A1HIALEH 33012</t>
  </si>
  <si>
    <t>IRAIDA LEADES CAMPELL</t>
  </si>
  <si>
    <t>786 851 5459</t>
  </si>
  <si>
    <t>1822 NW 68 ST MIAMI FL 33147</t>
  </si>
  <si>
    <t xml:space="preserve">RAQUEL ESTEVEZ  BONNE </t>
  </si>
  <si>
    <t>561 787 54 36</t>
  </si>
  <si>
    <t>2390 FOREST HILLS BLVD APT 201 CORAL SPRING FL 33065</t>
  </si>
  <si>
    <t>YAILIS ISAAC BETARTE</t>
  </si>
  <si>
    <t>1330 NE 127 ST UNIT 3 MIAMI FL 33161</t>
  </si>
  <si>
    <t xml:space="preserve">KENIA FERNANDEZ </t>
  </si>
  <si>
    <t>786 285 5908</t>
  </si>
  <si>
    <t>2155 SW 72 AVE APT 1 MIAMI FL 33155</t>
  </si>
  <si>
    <t xml:space="preserve">ROSA M CARDONA ALVAREZ </t>
  </si>
  <si>
    <t>346 857 89 24</t>
  </si>
  <si>
    <t>316 SW 96 ST MIAMI FL 33165</t>
  </si>
  <si>
    <t xml:space="preserve">DANIA R MONTOYA ROMERO </t>
  </si>
  <si>
    <t>1820 NW 68 ST MIAMI FL 33147</t>
  </si>
  <si>
    <t xml:space="preserve">JOSE ANTONIO CASOLA GONZALEZ </t>
  </si>
  <si>
    <t>14200 SW 74 TH TER MIAMI FL 33183</t>
  </si>
  <si>
    <t xml:space="preserve">ANGELO DAVID SALAZAR TORRES </t>
  </si>
  <si>
    <t>5835 TAYLOR ST HOLLYWOOD FL 33021</t>
  </si>
  <si>
    <t>ZULEYDY FERNANDEZ OJEDA</t>
  </si>
  <si>
    <t>15457 SW 49 TH ST MIAMI FL 33185</t>
  </si>
  <si>
    <t>LAZARO RAFAEL DEL VALLE VIZCANO</t>
  </si>
  <si>
    <t>13265 SW 272 ND ST HOMESTEAD FL 33032</t>
  </si>
  <si>
    <t xml:space="preserve">CINTHIA DE LA CARIDAD OJEDA </t>
  </si>
  <si>
    <t>786560 5819</t>
  </si>
  <si>
    <t>13265 SW 272 ND  ST HOMESTEAD AFB FL 33032</t>
  </si>
  <si>
    <t xml:space="preserve">JENNIFER RODRIGUEZ </t>
  </si>
  <si>
    <t>2364 W 56 TH ST APT 103 HIALEAH FL  33016</t>
  </si>
  <si>
    <t xml:space="preserve">JESSICA PAGES HERNANDEZ </t>
  </si>
  <si>
    <t>14834 SW 176 TH TER MIAMI FL 33187</t>
  </si>
  <si>
    <t xml:space="preserve">SULIVAN MESA FLEITAS </t>
  </si>
  <si>
    <t>YANIELA DE LA C VALDEZ  HERMIAGA</t>
  </si>
  <si>
    <t>3431 SW 89 TH CT MIAMI FL 33165</t>
  </si>
  <si>
    <t xml:space="preserve">MIGUEL ANGEL DIAZ RIVERON </t>
  </si>
  <si>
    <t xml:space="preserve">6185 W 20 TH AVE APT 317 </t>
  </si>
  <si>
    <t xml:space="preserve">ALEJANDRO MACHADO RODRIGUEZ </t>
  </si>
  <si>
    <t>786 486 4015</t>
  </si>
  <si>
    <t>5501 NW 7 TH ST APT E404 MIAMI FL 33126</t>
  </si>
  <si>
    <t>LEYDI MARIAN VAZQUEZ CASTRO</t>
  </si>
  <si>
    <t xml:space="preserve">1531 NW 26 TH AVE </t>
  </si>
  <si>
    <t xml:space="preserve">JULIO MAIDAGAN </t>
  </si>
  <si>
    <t>786 262 2728</t>
  </si>
  <si>
    <t>8851 NW 119 ST APT 2218 HIALEAH GARDENS 33018</t>
  </si>
  <si>
    <t xml:space="preserve">LILIBEL DOMINGUEZ QUETGLAS </t>
  </si>
  <si>
    <t>786 277 9008</t>
  </si>
  <si>
    <t>5790 W 13 TH AVE HIALEAH FL 33012</t>
  </si>
  <si>
    <t xml:space="preserve">IRMA GONZALEZ PADRON </t>
  </si>
  <si>
    <t>9453 SW 17 ST MIAMI FL 33165</t>
  </si>
  <si>
    <t xml:space="preserve">WALDI SOTO SUAREZ </t>
  </si>
  <si>
    <t>786 767 2456</t>
  </si>
  <si>
    <t>376 NE 26 TERR UNIDAD 102 HOMESTEAD 33033</t>
  </si>
  <si>
    <t xml:space="preserve">EIMY RODRIGUEZ </t>
  </si>
  <si>
    <t>244 E 15 TH ST HIALEAH FL 33010</t>
  </si>
  <si>
    <t xml:space="preserve">MARIA MACHADO VICTORIA </t>
  </si>
  <si>
    <t>786 447 859</t>
  </si>
  <si>
    <t xml:space="preserve">KIRENIA ALVAREZ PENA </t>
  </si>
  <si>
    <t>786 7672479</t>
  </si>
  <si>
    <t>376 NE 26 TER UNIDAD 102 HOMESTEAD 33033</t>
  </si>
  <si>
    <t xml:space="preserve">YOANDRIS AGUILERA SALDIVAR </t>
  </si>
  <si>
    <t>10820 SW 200 TH DR APT 419 CULTER BAY FL 33157</t>
  </si>
  <si>
    <t xml:space="preserve">ALEXIA MEDINA </t>
  </si>
  <si>
    <t>1745 NW 47 TERRA MIAMI FL 33142</t>
  </si>
  <si>
    <t xml:space="preserve">YUDITH RODRIGUEZ SANCHEZ </t>
  </si>
  <si>
    <t>239 357 0779</t>
  </si>
  <si>
    <t>60 W 95 ST APT B HIALEAH FL 33010</t>
  </si>
  <si>
    <t xml:space="preserve">YANDRA RIVERO SOLER </t>
  </si>
  <si>
    <t>875 W 74 ST APT 129 HIALEAH  FL 33014</t>
  </si>
  <si>
    <t>YULEIDIS TORRES SANCHEZ</t>
  </si>
  <si>
    <t>12764 SW 14 ST MIAMI FL 33184</t>
  </si>
  <si>
    <t xml:space="preserve">NANCY ALEMAN SANCHEZ </t>
  </si>
  <si>
    <t>786779 7455</t>
  </si>
  <si>
    <t>4443 NW 179 TH TERRA MIAMI FL 33055</t>
  </si>
  <si>
    <t xml:space="preserve">YISELY NAZCO GUTIERREZ </t>
  </si>
  <si>
    <t>305 420 8215</t>
  </si>
  <si>
    <t>2001 NW 103 ST MIAMI FL 33147</t>
  </si>
  <si>
    <t>THAYLI MARTINEZ VIDAL</t>
  </si>
  <si>
    <t>786 923 78 73</t>
  </si>
  <si>
    <t>4208 WEST 16 AVE HIALEAH FL 33012</t>
  </si>
  <si>
    <t>ELVYS DAVID AGUILAR AMAYA</t>
  </si>
  <si>
    <t>786 307 8211</t>
  </si>
  <si>
    <t>1450 NW 116 ST MIAMI FL 33167</t>
  </si>
  <si>
    <t xml:space="preserve">ADA MARISOL FUENTES </t>
  </si>
  <si>
    <t>786 761 4993</t>
  </si>
  <si>
    <t>2340 SW 14 TH ST 33145</t>
  </si>
  <si>
    <t>HILDA IRIS MACHIN GONZALEZ</t>
  </si>
  <si>
    <t>864906 8454</t>
  </si>
  <si>
    <t xml:space="preserve">1021 NW 41 ST AVE </t>
  </si>
  <si>
    <t xml:space="preserve">YADIRA RODRIGUEZ </t>
  </si>
  <si>
    <t>305 877 83 34</t>
  </si>
  <si>
    <t>9000 SW 18 TH TERR</t>
  </si>
  <si>
    <t xml:space="preserve">GISELLYS ELIAS VIDAL </t>
  </si>
  <si>
    <t>786 442 8964</t>
  </si>
  <si>
    <t>8203 S PALM PEMBROKE PINES APT 134 DR 33025</t>
  </si>
  <si>
    <t xml:space="preserve">LISSETTE VELAZQUEZ MUÑOZ </t>
  </si>
  <si>
    <t xml:space="preserve">305 561 9704 </t>
  </si>
  <si>
    <t>11032 SW 5 ST MIAMI FL 33174</t>
  </si>
  <si>
    <t xml:space="preserve">JOSE BERNARDO GALIANO FERNANDEZ </t>
  </si>
  <si>
    <t>786890 8568</t>
  </si>
  <si>
    <t>6190 W 14 TH AVE HALEAH FL 33012</t>
  </si>
  <si>
    <t xml:space="preserve">YEMMY DE LA CARIDAD MENDILUCE PEREZ </t>
  </si>
  <si>
    <t>919 NW 2 AVE APT 803 MIAMI FL 33136</t>
  </si>
  <si>
    <t>YUDISLEIDY BERNAL GONZALEZ</t>
  </si>
  <si>
    <t>786407 8350</t>
  </si>
  <si>
    <t>358 W 36 ST HIALEAH 33012</t>
  </si>
  <si>
    <t xml:space="preserve">ANIA MACAYA RODRIGUEZ </t>
  </si>
  <si>
    <t>10418 SW 210 TH TER CUTLER BAY FL 33189</t>
  </si>
  <si>
    <t xml:space="preserve">KENIA RAMOS ROSAS </t>
  </si>
  <si>
    <t>703 NW 111 TH CT APT 2 MIAMI FL 33172</t>
  </si>
  <si>
    <t>NIEVES AMARILYS ADAN GUTIERRES</t>
  </si>
  <si>
    <t>150 W 29 ST HIALEAH FL APT 10 33012</t>
  </si>
  <si>
    <t xml:space="preserve">YOANDRIS VILTRES GIL </t>
  </si>
  <si>
    <t>656 2476374</t>
  </si>
  <si>
    <t>5725 NW 2 AVE MIAMI FL( APT 1004) 33127</t>
  </si>
  <si>
    <t xml:space="preserve">KIANA GUTIERREZ RODRIGUEZ </t>
  </si>
  <si>
    <t>656 2471455</t>
  </si>
  <si>
    <t>YASMANI ALLN SALCEDO</t>
  </si>
  <si>
    <t>305 4523965</t>
  </si>
  <si>
    <t>201 FISHERMAN ST APT 145 OPALOCKA 33054</t>
  </si>
  <si>
    <t xml:space="preserve">NORMA SIMPSON ALLEN </t>
  </si>
  <si>
    <t xml:space="preserve">IRANDER ESTRADA LEADES </t>
  </si>
  <si>
    <t>786 851 4977</t>
  </si>
  <si>
    <t>58 NE 14 ST APT 1822 MIAMI FL 33132</t>
  </si>
  <si>
    <t xml:space="preserve">IVONNIS FERNANDEZ RAMIREZ </t>
  </si>
  <si>
    <t>786 851 5010</t>
  </si>
  <si>
    <t xml:space="preserve">CARMEN ROSA PRIETO GARCIA </t>
  </si>
  <si>
    <t>305 4919475</t>
  </si>
  <si>
    <t>5875 W 28 TH AVE HIALEAH FL 33016</t>
  </si>
  <si>
    <t xml:space="preserve">ARTURO EDUARDO GATICA HERNANDEZ </t>
  </si>
  <si>
    <t>651 NE 2 ND PL HIALEAH FL 33010</t>
  </si>
  <si>
    <t>ANA REGLA LEE CHAO</t>
  </si>
  <si>
    <t xml:space="preserve">JORGE GONZALEZ LEAL  </t>
  </si>
  <si>
    <t>305747 8081</t>
  </si>
  <si>
    <t>YUSMNY TORRES BORRERO</t>
  </si>
  <si>
    <t>786 727 2250</t>
  </si>
  <si>
    <t>2920 NW 157 ST APT 145 OPALOCKA 33054</t>
  </si>
  <si>
    <t>LEYDANIS CASABONA CAMEJO</t>
  </si>
  <si>
    <t>786 803 4606</t>
  </si>
  <si>
    <t>1333 W 49  TH PL APT 501 HIALEAH FL 33012</t>
  </si>
  <si>
    <t xml:space="preserve">IDALMIS MONTALVO ROMERO </t>
  </si>
  <si>
    <t>786 554 5833</t>
  </si>
  <si>
    <t>9635 SW 24 TH ST APT 106 MIAMI FL 33165</t>
  </si>
  <si>
    <t xml:space="preserve">JUAN CARLOS LEDON GARCIA </t>
  </si>
  <si>
    <t>3745 NW 171 ST TERR MIAMI GARDENS FL 33056</t>
  </si>
  <si>
    <t xml:space="preserve">MARCEL RENE PLANA DOMINGUEZ </t>
  </si>
  <si>
    <t>786554 5833</t>
  </si>
  <si>
    <t>4616 E 8 TH LN HIALEAH FL 33013</t>
  </si>
  <si>
    <t xml:space="preserve">TOMASA ANDRADE BARCELO </t>
  </si>
  <si>
    <t>786 861 9711</t>
  </si>
  <si>
    <t>29301 SW 147 TH AVE HP,ESTEAD FL 33033</t>
  </si>
  <si>
    <t xml:space="preserve">LILIANA CARIDAD GONZALEZ LUIS </t>
  </si>
  <si>
    <t>786799 4778</t>
  </si>
  <si>
    <t>10540 NW 28 TH AVE MIAMI FL 33147</t>
  </si>
  <si>
    <t xml:space="preserve">CATHERIN HERNANDEZ ZULUETA </t>
  </si>
  <si>
    <t>786 960 70 49</t>
  </si>
  <si>
    <t>1005 SW 71 ST AVE APT 7 MIAMI FL 33144</t>
  </si>
  <si>
    <t xml:space="preserve">YENISLEYDI BOZA PEREZ </t>
  </si>
  <si>
    <t>786 815 6444</t>
  </si>
  <si>
    <t xml:space="preserve">2775 W OKEECHOBEE DR </t>
  </si>
  <si>
    <t xml:space="preserve">THAYLA MARTINEZ CALZADILLA </t>
  </si>
  <si>
    <t>786 4033963</t>
  </si>
  <si>
    <t>18201 NW 73 RD AVE APT 208</t>
  </si>
  <si>
    <t xml:space="preserve">KATIA REYES MARTINEZ </t>
  </si>
  <si>
    <t>954 422 0336</t>
  </si>
  <si>
    <t>793 DRYSTAL LAKE DR DEERFIELD BEACH FL 33064</t>
  </si>
  <si>
    <t xml:space="preserve">SABRINA CHIQUINQUIRSA LOPEZ SALAS </t>
  </si>
  <si>
    <t>954 543 3704</t>
  </si>
  <si>
    <t>3522 NE 171 ST ST N MIAMI BEACH FL 33160</t>
  </si>
  <si>
    <t>GLADES-LAKELAND</t>
  </si>
  <si>
    <t>YANGER BLANCO ENTENZA</t>
  </si>
  <si>
    <t>GERARDO</t>
  </si>
  <si>
    <t>GERARDO ELIAS MARTINEZ VILA</t>
  </si>
  <si>
    <t>4505 W HENRY AVE TAMPA FL 33614</t>
  </si>
  <si>
    <t xml:space="preserve">LAZARO ANGEL LOPEZ GIL </t>
  </si>
  <si>
    <t>3126 W RIO VISTA AVE TAMPA FL 33614</t>
  </si>
  <si>
    <t>ALEJANDRO TARAFA ARAGON</t>
  </si>
  <si>
    <t>14902 PAR CLUB CIR TAMPA FL 33618</t>
  </si>
  <si>
    <t xml:space="preserve">GLADES-LAKELAND </t>
  </si>
  <si>
    <t xml:space="preserve">SANDRA CABRERA </t>
  </si>
  <si>
    <t>343 COUNTRY CLUB DR OLDSMAR FL 33677</t>
  </si>
  <si>
    <t xml:space="preserve">LAURA LEON </t>
  </si>
  <si>
    <t>7158 HAMILTON PARK BLVD TAMPA 33615</t>
  </si>
  <si>
    <t xml:space="preserve">ARMANDO ALVAREZ </t>
  </si>
  <si>
    <t>2311 TRIAD LN  TAMPA FL 33619</t>
  </si>
  <si>
    <t xml:space="preserve">ARIEL GONZALEZ </t>
  </si>
  <si>
    <t>4607 BRISTOL BAY WAY TAMPA 33619</t>
  </si>
  <si>
    <t>IDANIA PEREZ</t>
  </si>
  <si>
    <t xml:space="preserve">YESSEL FRAGA </t>
  </si>
  <si>
    <t xml:space="preserve">ABEL VINAS </t>
  </si>
  <si>
    <t>4527 W CLIFTON ST TAMPA FL 33614</t>
  </si>
  <si>
    <t>YANISLEIDY BENITEZ</t>
  </si>
  <si>
    <t xml:space="preserve">CARLOS FERNANDEZ </t>
  </si>
  <si>
    <t>239 832 5138</t>
  </si>
  <si>
    <t xml:space="preserve">ANA IRIS RODRIGUEZ VALDES </t>
  </si>
  <si>
    <t>786 865 4109</t>
  </si>
  <si>
    <t>1441 NW 19 TH ST APT 106 MIAMI FL 33125</t>
  </si>
  <si>
    <t xml:space="preserve">WAYNER O. SUJO AVILA </t>
  </si>
  <si>
    <t>239 878 0384</t>
  </si>
  <si>
    <t>12270 SW 191 ST MIAMI FL 33177</t>
  </si>
  <si>
    <t xml:space="preserve">YOELMIS PADILLA TORRES </t>
  </si>
  <si>
    <t>305 4986127</t>
  </si>
  <si>
    <t>2920 NW 157 TH ST MIAMI GARDENS FL 33054</t>
  </si>
  <si>
    <t xml:space="preserve">YAIMA ZURBITU ORAMAS </t>
  </si>
  <si>
    <t>786 3081882</t>
  </si>
  <si>
    <t>5615 ALHAMBRA   CIR    CORAL GABLES FL 33146</t>
  </si>
  <si>
    <t>KEYLA SANTANA ENAMORADO</t>
  </si>
  <si>
    <t>786 2959083</t>
  </si>
  <si>
    <t>1180 NW 135 ST MIAMI FL 33168</t>
  </si>
  <si>
    <t xml:space="preserve">YESENIA DE LA CARIDAD LOPEZ LOPEZ </t>
  </si>
  <si>
    <t>786 956 0379</t>
  </si>
  <si>
    <t>19210 NW 39 TH AVE MIAMI GARDENS 33055</t>
  </si>
  <si>
    <t xml:space="preserve">DANIEYIS HERNANDEZ MARTINEZ </t>
  </si>
  <si>
    <t>786 948 7003</t>
  </si>
  <si>
    <t>17551 NE 5 AVE NORTH MIAMI BEACH 33162</t>
  </si>
  <si>
    <t>LUISA POEY MARRERO</t>
  </si>
  <si>
    <t>811 NW 43RD AVE APT 627 MIAMI FLORIDA 33126</t>
  </si>
  <si>
    <t xml:space="preserve">LUIS BOMBINO ZAMBRANA </t>
  </si>
  <si>
    <t>358 W 36TH ST HIALEAH FL 33012</t>
  </si>
  <si>
    <t>YADIRA SOCARRAS VITEL</t>
  </si>
  <si>
    <t>19210 NW 39ST MIAMI GARDENS 33055</t>
  </si>
  <si>
    <t>MAYDA BARBARA GUTIERREZ LEAL</t>
  </si>
  <si>
    <t>6020 W 14TH ST</t>
  </si>
  <si>
    <t>ADILEN OROZCO HERNANDEZ</t>
  </si>
  <si>
    <t xml:space="preserve">LUIS MIGUEL LOPEZ RAMIREZ </t>
  </si>
  <si>
    <t>8826 W FLAGER ST APT 216 MIAMI FL 33174</t>
  </si>
  <si>
    <t xml:space="preserve">EUGENIO ROLANDO MARTINEZ RAJADEL </t>
  </si>
  <si>
    <t>7726 NW 10 AVE MIAMI FL 33150</t>
  </si>
  <si>
    <t xml:space="preserve">YENEI MONTES DE OCA FELICES </t>
  </si>
  <si>
    <t>21401 SW 113 AVE</t>
  </si>
  <si>
    <t>YENISEI HUTCHINSON ALMOGUERA</t>
  </si>
  <si>
    <t>8826 W FLAGER ST 216 MIAMI FL 33174</t>
  </si>
  <si>
    <t>PEDRO JOEL BROWN ALVARADO</t>
  </si>
  <si>
    <t>6090 NW 186TH ST APT 104 HIALEAH FL 33015</t>
  </si>
  <si>
    <t>ISABELLA DEL CARMEN CASTILLO ARAUZ</t>
  </si>
  <si>
    <t>EVELYN LEYANI RIBIAUX MARTINEZ</t>
  </si>
  <si>
    <t>17000 NW 67 AVE MIAMI FL 33015</t>
  </si>
  <si>
    <t>YAHIMA ALVERO FAJARDO</t>
  </si>
  <si>
    <t>19956 NW 56TH AVE MIAMI GARDENS 33055</t>
  </si>
  <si>
    <t xml:space="preserve">LAZARA AMANDA ALVAREZ MONTERO </t>
  </si>
  <si>
    <t>2605 NW 135 ST APT 301 MIAMI FL 33167</t>
  </si>
  <si>
    <t>SULEIDYS LIMA VARGAS</t>
  </si>
  <si>
    <t>3981 NW 176 TERRA MIAMI GARDENS 33055</t>
  </si>
  <si>
    <t>GEMA CONCHADO PARADA</t>
  </si>
  <si>
    <t>2085 EAST 1 AVE APT 302 HIALEAH FL 33016</t>
  </si>
  <si>
    <t xml:space="preserve">LESLIE JANE DIAZ MARTINEZ </t>
  </si>
  <si>
    <t>1765 SW 3RD CT HOMESTEAD FL 33030</t>
  </si>
  <si>
    <t>MARIO LEOVEL MARTIN VENTO</t>
  </si>
  <si>
    <t>3350 W HILLSBOROUGH AVE TAMPA 33614</t>
  </si>
  <si>
    <t>SILVIA ELISA CARDENOSA PELAEZ</t>
  </si>
  <si>
    <t>786 342 3194</t>
  </si>
  <si>
    <t xml:space="preserve">MAYRAM ARLENES  MAESTRE CARDENOSA </t>
  </si>
  <si>
    <t>786 417 9426</t>
  </si>
  <si>
    <t>MISLEIDY GARCIA MARTINEZ</t>
  </si>
  <si>
    <t>813 3273903</t>
  </si>
  <si>
    <t>3132 W LAMBRIGHT ST TAMPA 33614</t>
  </si>
  <si>
    <t>NILIAM PEDRO GONZALEZ</t>
  </si>
  <si>
    <t>656 214 8693</t>
  </si>
  <si>
    <t>7707 CORNWALL LN TAMPA 33615</t>
  </si>
  <si>
    <t xml:space="preserve">CRISTIAN JOEL LOPEZ GARCIA </t>
  </si>
  <si>
    <t>813 325 3005</t>
  </si>
  <si>
    <t>5009 MC CRANIE ST SEFFNER 33584</t>
  </si>
  <si>
    <t>NOEL MARTINEZ GARCIA</t>
  </si>
  <si>
    <t>10107 N FLORENCE AVE TAMPA 33612</t>
  </si>
  <si>
    <t xml:space="preserve">MAYTEE HERNANDEZ MORA </t>
  </si>
  <si>
    <t>656 2048452</t>
  </si>
  <si>
    <t xml:space="preserve">YANELIS HERRADA PEREZ </t>
  </si>
  <si>
    <t>1015 GRIFFIN RD APT 302 LAKELAND 33810</t>
  </si>
  <si>
    <t xml:space="preserve">ALEXIS CARDENAS ORTIZ </t>
  </si>
  <si>
    <t>754 364 4255</t>
  </si>
  <si>
    <t>4680 ELONCRESCENT LAKELAND 33810</t>
  </si>
  <si>
    <t xml:space="preserve">ISMAEL CARDENAS ORTIZ </t>
  </si>
  <si>
    <t>863 362 1390</t>
  </si>
  <si>
    <t>MERCEDES FRASQUERO MEDINA</t>
  </si>
  <si>
    <t>GERARDO-LAKELAND</t>
  </si>
  <si>
    <t>3125 W RIO VISTA TAMPA 33614</t>
  </si>
  <si>
    <t>NATALY GONZALEZ</t>
  </si>
  <si>
    <t>813-507-1355</t>
  </si>
  <si>
    <t>10209 N 26 TH TAMPA FL</t>
  </si>
  <si>
    <t>LUIS ANGEL CAMEJO</t>
  </si>
  <si>
    <t>305-300-3854</t>
  </si>
  <si>
    <t>13510 LINDEN DR SPRING HILL 31609</t>
  </si>
  <si>
    <t>LIRAICY DE ARMAS PONCE</t>
  </si>
  <si>
    <t>9508 PEMBRIDGE CT TAMPA 33628</t>
  </si>
  <si>
    <t xml:space="preserve">ANDY ALBERTO OJEDA </t>
  </si>
  <si>
    <t>1330 WEST 29 ST APT 11 HIALEAH FL 33012</t>
  </si>
  <si>
    <t xml:space="preserve">MALVIS PAZ LINARES </t>
  </si>
  <si>
    <t>786846 2945</t>
  </si>
  <si>
    <t>1830 NW 55 ST APT 6 MIAMI FL 33135</t>
  </si>
  <si>
    <t xml:space="preserve">MAGELA MENA ESTEVEZ </t>
  </si>
  <si>
    <t>786 750 4706</t>
  </si>
  <si>
    <t>7497 WEST 22 AVE HIALEAH FL 33016</t>
  </si>
  <si>
    <t xml:space="preserve">DAIMY THONSON VERA </t>
  </si>
  <si>
    <t>786 366 1619</t>
  </si>
  <si>
    <t>482 NW 165 ST ROAD APT 507 MIAMI FL 33162</t>
  </si>
  <si>
    <t xml:space="preserve">MOHAMID TORRES RODRIGUEZ </t>
  </si>
  <si>
    <t>786 896 9250</t>
  </si>
  <si>
    <t>2355 SW 105 TH PLACE MIAMI FL 33174</t>
  </si>
  <si>
    <t xml:space="preserve">GREISY RODRIGUEZ </t>
  </si>
  <si>
    <t>517 204 95 29</t>
  </si>
  <si>
    <t>2935 SW 4 TH ST 33135</t>
  </si>
  <si>
    <t xml:space="preserve">KAREN ELENA GONZALEZ SUAREZ </t>
  </si>
  <si>
    <t>786 375 158</t>
  </si>
  <si>
    <t xml:space="preserve">CASEY VANESA LOPEZ </t>
  </si>
  <si>
    <t>786 660 9987</t>
  </si>
  <si>
    <t>30 NW 24 TH AVE 33125</t>
  </si>
  <si>
    <t xml:space="preserve">JEFRFRY HERNANDEZ </t>
  </si>
  <si>
    <t>786 705 0076</t>
  </si>
  <si>
    <t>8992 SW 38TH ST MIAMI FL 33165</t>
  </si>
  <si>
    <t xml:space="preserve">JENNY V RAMIREZ ROSALEZ </t>
  </si>
  <si>
    <t xml:space="preserve">JOSE JULIANO ORTEGA </t>
  </si>
  <si>
    <t>786 3940419</t>
  </si>
  <si>
    <t>190 E 61 S HIALEAH FL 33013</t>
  </si>
  <si>
    <t xml:space="preserve">YASLY GUEVARA AMADOR </t>
  </si>
  <si>
    <t>786 260 5968</t>
  </si>
  <si>
    <t>2398 NE 136 TH ST 33181</t>
  </si>
  <si>
    <t xml:space="preserve">HENRRY GONZALEZ ROJAS </t>
  </si>
  <si>
    <t>305 801 8519</t>
  </si>
  <si>
    <t>19710 NW 44 TH PL MIAMI GARDENS FL 33055</t>
  </si>
  <si>
    <t xml:space="preserve">ANA ELISA GONZALEZ OSLE </t>
  </si>
  <si>
    <t xml:space="preserve">786 531 94 72 </t>
  </si>
  <si>
    <t>14853 SW 173 TR MIAMI FL 33187</t>
  </si>
  <si>
    <t xml:space="preserve">HOWARD SOSA ALFONSO </t>
  </si>
  <si>
    <t>305 560 8367</t>
  </si>
  <si>
    <t xml:space="preserve">RITA POZO ROMERO </t>
  </si>
  <si>
    <t xml:space="preserve">786 817 4594 </t>
  </si>
  <si>
    <t>1251 SW 28 TH WAY FORT LAUDERDALE FL 33312</t>
  </si>
  <si>
    <t xml:space="preserve">NORKA NIEBLA LOBAINA </t>
  </si>
  <si>
    <t>786 380 0160</t>
  </si>
  <si>
    <t>5470 W 10 TH CT HIALEAH FL 33012</t>
  </si>
  <si>
    <t xml:space="preserve">ANA LAURA DIAZ </t>
  </si>
  <si>
    <t>786 781 6450</t>
  </si>
  <si>
    <t xml:space="preserve">ISMARI MANFUGAS SOBEN </t>
  </si>
  <si>
    <t>305 986 7833</t>
  </si>
  <si>
    <t>1470 NW 36 TH ST APT 821 MIAMI FL 33142</t>
  </si>
  <si>
    <t xml:space="preserve">KARINA SANCHEZ SELGUERA </t>
  </si>
  <si>
    <t>786 384 3493</t>
  </si>
  <si>
    <t>420 NW 132 ST NORTH MIAMI FL 33168</t>
  </si>
  <si>
    <t>GLADES-NORTH MIAMI</t>
  </si>
  <si>
    <t xml:space="preserve">ALINA SUAREZ DELGADO </t>
  </si>
  <si>
    <t>786 608 7561</t>
  </si>
  <si>
    <t>3760 NW 171 ST TER MIAMI GARDENS FL 33055</t>
  </si>
  <si>
    <t xml:space="preserve">SUSANA JUDITH NORIEGA TIPAN </t>
  </si>
  <si>
    <t>305 427 8376</t>
  </si>
  <si>
    <t xml:space="preserve">10115 NW 9 TH ST CIR APT 207 MIAMI  FL 33172 </t>
  </si>
  <si>
    <t xml:space="preserve">MARILUZ SILVA PEREZ </t>
  </si>
  <si>
    <t>786 830 0765</t>
  </si>
  <si>
    <t>1401 SW 67 THB AVE APT 33 MIAMI FL 33144</t>
  </si>
  <si>
    <t>Yisel Martinez Rodriguez</t>
  </si>
  <si>
    <t>REPORT</t>
  </si>
  <si>
    <t>(8630212-1705</t>
  </si>
  <si>
    <t>3306 E Mohawk Ave Tampa 33610</t>
  </si>
  <si>
    <t>THALIA LAGUEN ARCE</t>
  </si>
  <si>
    <t>813)-445-0040</t>
  </si>
  <si>
    <t>3421 Pico Dr Tampa 33614</t>
  </si>
  <si>
    <t>LOANNYS HERNANDEZ GONZALEZ</t>
  </si>
  <si>
    <t>813 838 8904</t>
  </si>
  <si>
    <t>4702 TOWN N COUNTRY BLVD TAMPA 33615</t>
  </si>
  <si>
    <t>MARINET FALTS ALVAREZ</t>
  </si>
  <si>
    <t>656 212 7320</t>
  </si>
  <si>
    <t>4930 CRESTHILL DR TAMPA 33615</t>
  </si>
  <si>
    <t>YOENDRIS DE LA CRUZ RODRIGUEZ</t>
  </si>
  <si>
    <t>407 460 3598</t>
  </si>
  <si>
    <t>6228 BEACON ISLES DR TAMPA 33615</t>
  </si>
  <si>
    <t xml:space="preserve">TAHILA BLANCO CRUZ </t>
  </si>
  <si>
    <t>941 294 7067</t>
  </si>
  <si>
    <t xml:space="preserve">ANGEL BAYAR MOREJON </t>
  </si>
  <si>
    <t>561 690 8804</t>
  </si>
  <si>
    <t>7609 LAVENDER LN TAMPA 33619</t>
  </si>
  <si>
    <t xml:space="preserve">YULIEE RODRIGUEZ VALENCIA </t>
  </si>
  <si>
    <t>561 583 2859</t>
  </si>
  <si>
    <t>ISSAC JAVIER LOPEZ</t>
  </si>
  <si>
    <t>813 446 5018</t>
  </si>
  <si>
    <t>8550 MONTRAVAIL CIR TEMPLE TERRACE 33637</t>
  </si>
  <si>
    <t xml:space="preserve">YUSLEIDY LORENZO VALDES </t>
  </si>
  <si>
    <t>786 660 0293</t>
  </si>
  <si>
    <t>14101 NW 23 RD CT OPALOCKA FL 33054</t>
  </si>
  <si>
    <t>YUNIOER TORRES CALMELL</t>
  </si>
  <si>
    <t>786 930 0023</t>
  </si>
  <si>
    <t xml:space="preserve">JOEL OROZCO RODRIGUEZ </t>
  </si>
  <si>
    <t>786 269 9596</t>
  </si>
  <si>
    <t>9091 SW 152 CT MIAMI FL 33186</t>
  </si>
  <si>
    <t>MARILIN GUERRA NIETO</t>
  </si>
  <si>
    <t>786 861 5423</t>
  </si>
  <si>
    <t>754 E 23 RD ST HIALEAH 33013</t>
  </si>
  <si>
    <t>ROSELIN DE LA CARIDAD  DIAZ DELGADO</t>
  </si>
  <si>
    <t>239 785 7662</t>
  </si>
  <si>
    <t>668  NW 44 TH AVE MIAMI FL 33126</t>
  </si>
  <si>
    <t xml:space="preserve">DIANELIS VALLIN BATISTA </t>
  </si>
  <si>
    <t>786 915 7575</t>
  </si>
  <si>
    <t>978 SW 71 ST CT MIAMI FL 33144</t>
  </si>
  <si>
    <t xml:space="preserve">EUSEBIO DOMINGUEZ </t>
  </si>
  <si>
    <t>876 620 3611</t>
  </si>
  <si>
    <t>3667 S MIAMI AVE APT 307 MIAMI FL 33133</t>
  </si>
  <si>
    <t>MARISLEYNIS MARGARITA HERNANDEZ FABELO</t>
  </si>
  <si>
    <t>786 741 6860</t>
  </si>
  <si>
    <t>3038 NW 32 ND ST MIAMI FL 33142</t>
  </si>
  <si>
    <t xml:space="preserve">MARIAN DE LA CARIDAD MENENDEZ MADRUGA </t>
  </si>
  <si>
    <t>786 399 9904</t>
  </si>
  <si>
    <t>341 E 56 ST HIALEAH 33010</t>
  </si>
  <si>
    <t xml:space="preserve">ALFREDO CHINEA MONCADA </t>
  </si>
  <si>
    <t>786 932 9179</t>
  </si>
  <si>
    <t>718 SE 8 TH ST APT 7 HIALEAH FL 33010</t>
  </si>
  <si>
    <t xml:space="preserve">MISLEIDY PEREZ FUENTES </t>
  </si>
  <si>
    <t>786 328 0963</t>
  </si>
  <si>
    <t>464 E 47 ST HIALEAH FL 33013</t>
  </si>
  <si>
    <t xml:space="preserve">YEIMI LAZARTE </t>
  </si>
  <si>
    <t>954 516 4571</t>
  </si>
  <si>
    <t>8414 S MISSION WOOD CIRCLE MIRAMAR FL 33025</t>
  </si>
  <si>
    <t xml:space="preserve">SARAY SAN MARTIN </t>
  </si>
  <si>
    <t>786 916 4438</t>
  </si>
  <si>
    <t>2620 WEST 76 ST HIALEAH FL 33016</t>
  </si>
  <si>
    <t xml:space="preserve">GLORIA PATRICIA HOYOS GONZALEZ </t>
  </si>
  <si>
    <t>786 569 6715</t>
  </si>
  <si>
    <t>2331 PINE TREE DR MIRAMAR FL 33023</t>
  </si>
  <si>
    <t>LAZARO FLORENTINO CARABALLS GUERRA</t>
  </si>
  <si>
    <t>786 768 6084</t>
  </si>
  <si>
    <t>482 NW 165 TH ST MIAMI FL 33169</t>
  </si>
  <si>
    <t>MILADIS C SERRANO</t>
  </si>
  <si>
    <t>305 492 0103</t>
  </si>
  <si>
    <t>240 NW 48 AVE MIAMI FL 33126</t>
  </si>
  <si>
    <t xml:space="preserve">CINTHIA LORENA REYES CARDONA </t>
  </si>
  <si>
    <t>305 502 7141</t>
  </si>
  <si>
    <t>23330 NE 135 TH TER NORTH MIAMI BEACH FL 33181</t>
  </si>
  <si>
    <t xml:space="preserve">LISANDRA DIAZ JACOMINO </t>
  </si>
  <si>
    <t>305 502 1235</t>
  </si>
  <si>
    <t>3636 SW 9 ST APT 8 33135</t>
  </si>
  <si>
    <t xml:space="preserve"> ALIXANDER LOPEZ DURANONA </t>
  </si>
  <si>
    <t>786 236 5332</t>
  </si>
  <si>
    <t>19420 SW 116 TH AVE MIAMI FL 33157</t>
  </si>
  <si>
    <t xml:space="preserve">ANTONIO FERNANDO LOPATEY ALVAREZ </t>
  </si>
  <si>
    <t>786 702 12 47</t>
  </si>
  <si>
    <t>63 NW 17 TH PL APT 4 MIAMI FL 33125</t>
  </si>
  <si>
    <t xml:space="preserve">MARCOS PEREZ CABRERA </t>
  </si>
  <si>
    <t>305 799 0468</t>
  </si>
  <si>
    <t>269 E 3 RD 33010</t>
  </si>
  <si>
    <t xml:space="preserve">YAQUELIN GOMEZ FERANDEZ </t>
  </si>
  <si>
    <t>281 806 6743</t>
  </si>
  <si>
    <t>3215 BAIRD AVE H52 LAKELAND FL 33805</t>
  </si>
  <si>
    <t>OSVALDO MAYET CARRION</t>
  </si>
  <si>
    <t>281 806 6735</t>
  </si>
  <si>
    <t>RAINIER GONZALEZ GONZALEZ</t>
  </si>
  <si>
    <t>813 953 7582</t>
  </si>
  <si>
    <t>208 SANDY AVE TAMPA  FL 33165</t>
  </si>
  <si>
    <t xml:space="preserve">MARISLEYSI DIAZ LOPEZ </t>
  </si>
  <si>
    <t>813 697 8159</t>
  </si>
  <si>
    <t>1905 FIESTA RIDGE CT TAMPA FL 33604</t>
  </si>
  <si>
    <t xml:space="preserve">ANGELY CASTILLO </t>
  </si>
  <si>
    <t>813 476 2517</t>
  </si>
  <si>
    <t>3410 W IDLEWILD AVE TAMPA FL 33614</t>
  </si>
  <si>
    <t xml:space="preserve">YESENIA  RAMOS REYES </t>
  </si>
  <si>
    <t>305 906 1536</t>
  </si>
  <si>
    <t>5107 E SLIGH AVE TAMPA FL 33617</t>
  </si>
  <si>
    <t>DIEGO JOSE VAZQUEZ FORTUNATO</t>
  </si>
  <si>
    <t>813 547 0281</t>
  </si>
  <si>
    <t>1000 W WATERS AVE TAMPA FL 33604</t>
  </si>
  <si>
    <t xml:space="preserve">YURISAY PAZ AMAYUELA </t>
  </si>
  <si>
    <t>863 362 1405</t>
  </si>
  <si>
    <t>4680 ELON CRES LAKELAND FL 33810</t>
  </si>
  <si>
    <t>NAIROVIS RODRIGUEZ CENTENO</t>
  </si>
  <si>
    <t>786 799 1274</t>
  </si>
  <si>
    <t xml:space="preserve">HAROLD MARTINEZ LEYVA </t>
  </si>
  <si>
    <t>813 363 7208</t>
  </si>
  <si>
    <t>11510 MANGO TERRACE DR APT 204 SEFFNER FL 33584</t>
  </si>
  <si>
    <t xml:space="preserve">THALIA MARTINEZ </t>
  </si>
  <si>
    <t>505 409 3217</t>
  </si>
  <si>
    <t xml:space="preserve">YILEXI MARQUEZ SANCHEZ </t>
  </si>
  <si>
    <t xml:space="preserve">786 676 4375 </t>
  </si>
  <si>
    <t>1518 RIVER DR APT E 101 FL 33603</t>
  </si>
  <si>
    <t xml:space="preserve">JESUS BELTRAN CALDERIN </t>
  </si>
  <si>
    <t>813 410 0413</t>
  </si>
  <si>
    <t>3224 W DOUGLAS ST TAMPA FL 33607</t>
  </si>
  <si>
    <t>CUSTOMERS</t>
  </si>
  <si>
    <t>DORAL</t>
  </si>
  <si>
    <t>SANDRA SANCHEZ</t>
  </si>
  <si>
    <t>INDIANA HERNANDEZ BLANCO</t>
  </si>
  <si>
    <t>SAYRA GLEANG</t>
  </si>
  <si>
    <t>YOLEYSIS MARTINEZ</t>
  </si>
  <si>
    <t xml:space="preserve">CINTHYA CONDE </t>
  </si>
  <si>
    <t>YAINELYS BALLESTER</t>
  </si>
  <si>
    <t xml:space="preserve">YAMPIER HERNÁNDEZ </t>
  </si>
  <si>
    <t>JENIFER ARECHAVALETA</t>
  </si>
  <si>
    <t>CARIDAD DIAZ NOVO</t>
  </si>
  <si>
    <t>ANISBEL SANCHEZ</t>
  </si>
  <si>
    <t>LUIS MAZORRA</t>
  </si>
  <si>
    <t>YUNAISIS GARCIA</t>
  </si>
  <si>
    <t>TEREZA GARCIA</t>
  </si>
  <si>
    <t>MARLA GARCIA RODRIGUEZ</t>
  </si>
  <si>
    <t>VICTOR ABAD</t>
  </si>
  <si>
    <t xml:space="preserve">ALEJANDRA ARMENTEROS </t>
  </si>
  <si>
    <t>LIDIA JIMENEZ</t>
  </si>
  <si>
    <t xml:space="preserve">CARIDAD DELGADO </t>
  </si>
  <si>
    <t>ANNAMARIE REYES</t>
  </si>
  <si>
    <t xml:space="preserve">JULIO DÍAZ </t>
  </si>
  <si>
    <t>MARIA LOPEZ</t>
  </si>
  <si>
    <t>YAIMA HERNÁNDEZ</t>
  </si>
  <si>
    <t>TOMY DANIEL ARMAS</t>
  </si>
  <si>
    <t>GISELLE FOYACA</t>
  </si>
  <si>
    <t>BARBARA MATOS</t>
  </si>
  <si>
    <t>DARLEN PLANA</t>
  </si>
  <si>
    <t>JUNIOR RUIZ</t>
  </si>
  <si>
    <t>ANA IRIS RODRTIGUEZ</t>
  </si>
  <si>
    <t>LEYSI PEREZ</t>
  </si>
  <si>
    <t>DORALIS VIGIL</t>
  </si>
  <si>
    <t>VAGNER DAPRESA</t>
  </si>
  <si>
    <t>SAMANTHA SONZINI</t>
  </si>
  <si>
    <t xml:space="preserve">JOANNA VAZQUEZ </t>
  </si>
  <si>
    <t>SERGIO HERNÁNDEZ</t>
  </si>
  <si>
    <t>DAMIANY LLANE VALDÉS</t>
  </si>
  <si>
    <t>DIDIANA DÍAZ RODRÍGUEZ</t>
  </si>
  <si>
    <t>CLAUDIA CALDERIN</t>
  </si>
  <si>
    <t xml:space="preserve">DELIVERED </t>
  </si>
  <si>
    <t>MELANI SUAREZ DEL SOL</t>
  </si>
  <si>
    <t>DAYANA SUAREZ DEL SOL</t>
  </si>
  <si>
    <t xml:space="preserve">ARLENIS MUÑOS VALEDES </t>
  </si>
  <si>
    <t>GRETER CASTILLO</t>
  </si>
  <si>
    <t>ANDRES M DIAZ PINTO</t>
  </si>
  <si>
    <t>YANALLI APARICIO</t>
  </si>
  <si>
    <t xml:space="preserve">YOLANDA CERVANTES </t>
  </si>
  <si>
    <t>KENIA LÓPEZ</t>
  </si>
  <si>
    <t>ADDIEL ECHEZABAL</t>
  </si>
  <si>
    <t>01/191989</t>
  </si>
  <si>
    <t>MAYPU ATANAY GUERRA</t>
  </si>
  <si>
    <t>ANGEL DANIEL MERCADO</t>
  </si>
  <si>
    <t>AEXIS CEBALLO TORRES</t>
  </si>
  <si>
    <t>ALEJANDRO DÍAZ PUERTA</t>
  </si>
  <si>
    <t>VANESA RONDA</t>
  </si>
  <si>
    <t>YADENIS OTERO DIAZ</t>
  </si>
  <si>
    <t>RODILIA NOROÑA ESPINOSA</t>
  </si>
  <si>
    <t>MARIAN GARCIA RODRÍGUEZ</t>
  </si>
  <si>
    <t>INDIRA CHÁVEZ NOROÑA</t>
  </si>
  <si>
    <t>GENESIS C. BADUEL</t>
  </si>
  <si>
    <t>MÓNICA K BAZA</t>
  </si>
  <si>
    <t>MARQUITOS</t>
  </si>
  <si>
    <t>PEDRO DÍAZ MARTÍNEZ</t>
  </si>
  <si>
    <t>MARCOS DÍAZ MARTÍNEZ</t>
  </si>
  <si>
    <t>CARIDAD MARTÍNEZ CUÉLLAR</t>
  </si>
  <si>
    <t>SARA CARIDAD LEON</t>
  </si>
  <si>
    <t xml:space="preserve">IRIALMA FIGEROA </t>
  </si>
  <si>
    <t>DAYORKY DIAZ JIMENEZ</t>
  </si>
  <si>
    <t>ORQUÍDEA DÍAZ</t>
  </si>
  <si>
    <t>GUILLERMO JUAN PÉREZ</t>
  </si>
  <si>
    <t>SERGIO RIVERO CONSUEGRA</t>
  </si>
  <si>
    <t>ROBERLANDYS SALAS</t>
  </si>
  <si>
    <t>YANNY GONZALEZ TORRIENTE</t>
  </si>
  <si>
    <t>LILIANNE DURIBE</t>
  </si>
  <si>
    <t>COSETTE REINA WATERMAN</t>
  </si>
  <si>
    <t>YOAN MUÑOZ</t>
  </si>
  <si>
    <t>ELAILY YINET</t>
  </si>
  <si>
    <t>ROSA NAVARRO</t>
  </si>
  <si>
    <t>YENISLEIDIS HERNANDEZ</t>
  </si>
  <si>
    <t>BELKIS RODRIGUEZ</t>
  </si>
  <si>
    <t>YRMA BAEZ</t>
  </si>
  <si>
    <t>02/2201968</t>
  </si>
  <si>
    <t>JULIAN BLANCO</t>
  </si>
  <si>
    <t>NOLAISY BALINA</t>
  </si>
  <si>
    <t>ROSIO REVILLA</t>
  </si>
  <si>
    <t>CLAUDINA TRAVIEZO</t>
  </si>
  <si>
    <t>ISMARA NAPOLEZ</t>
  </si>
  <si>
    <t>YUNIA CABRERA</t>
  </si>
  <si>
    <t>ALEXANDER ZARAGOZA</t>
  </si>
  <si>
    <t>ANIEL NOYA</t>
  </si>
  <si>
    <t>FIDEL CARDO</t>
  </si>
  <si>
    <t>YOEL YERENA</t>
  </si>
  <si>
    <t>ANAMARYS MONZON</t>
  </si>
  <si>
    <t>RAQUEL ROSABAL</t>
  </si>
  <si>
    <t>YOEL TRAVIEZO FRANCEDA</t>
  </si>
  <si>
    <t>TALIA VEGA MONTALVO</t>
  </si>
  <si>
    <t>12/291992</t>
  </si>
  <si>
    <t>MELISA HINIJOSA</t>
  </si>
  <si>
    <t>11/251999</t>
  </si>
  <si>
    <t>MOYLER F. CEJAS</t>
  </si>
  <si>
    <t>LUIS CARLOS</t>
  </si>
  <si>
    <t>LUIS MÉNDEZ DELGADO</t>
  </si>
  <si>
    <t>08/251962</t>
  </si>
  <si>
    <t>LORENA DÍAZ YANES</t>
  </si>
  <si>
    <t>BELKIS DIAZ SANCHEZ</t>
  </si>
  <si>
    <t>MILAGROS ABREU</t>
  </si>
  <si>
    <t>MIRELIS DIAZ</t>
  </si>
  <si>
    <t>LLAMILE GUERRA HERNANDEZ</t>
  </si>
  <si>
    <t>IRENE GÓMEZ GONZÁLEZ</t>
  </si>
  <si>
    <t>LUIS GONZALBO</t>
  </si>
  <si>
    <t>JULIO TRAVIEZO</t>
  </si>
  <si>
    <t>ADEL JO</t>
  </si>
  <si>
    <t>DUNIA ACOSTA SALAZAR</t>
  </si>
  <si>
    <t>08/071981</t>
  </si>
  <si>
    <t>ALCIDES GARCIA</t>
  </si>
  <si>
    <t>ANAISA IGLESIAS</t>
  </si>
  <si>
    <t>NANCY OLMO</t>
  </si>
  <si>
    <t>SAMANTHA ARIAS MARTINEZ</t>
  </si>
  <si>
    <t>MILAGROS VILLAFRANCA</t>
  </si>
  <si>
    <t>ERNESTO DUVERGER</t>
  </si>
  <si>
    <t>CARIDAD MORALES</t>
  </si>
  <si>
    <t>DAYLIN MARTINEZ</t>
  </si>
  <si>
    <t>07/0/1985</t>
  </si>
  <si>
    <t>JARLIN HERRERA</t>
  </si>
  <si>
    <t>MIREALES GUILARTE</t>
  </si>
  <si>
    <t>MAIRA VEGA COBAS</t>
  </si>
  <si>
    <t xml:space="preserve">ALIUSKA RIZO FLORES </t>
  </si>
  <si>
    <t>NOELIA FONSECA</t>
  </si>
  <si>
    <t>YOSVANY AGUIRRE</t>
  </si>
  <si>
    <t xml:space="preserve">YANET REYES </t>
  </si>
  <si>
    <t>MARIBEL CAULA DUQUESNE</t>
  </si>
  <si>
    <t>EDEL GUILLERMO TRUJILLO</t>
  </si>
  <si>
    <t xml:space="preserve">FROANKY NÁPOLES </t>
  </si>
  <si>
    <t>YAMILA CHACON</t>
  </si>
  <si>
    <t>OLGA LIDIA GUERRA</t>
  </si>
  <si>
    <t xml:space="preserve">DORAL </t>
  </si>
  <si>
    <t>LAZARO CANTERO</t>
  </si>
  <si>
    <t xml:space="preserve">DAYANA AGUILERA </t>
  </si>
  <si>
    <t>JUAN C HERNÁNDEZ</t>
  </si>
  <si>
    <t>NANDY FERNANDEZ</t>
  </si>
  <si>
    <t xml:space="preserve">BARBARA HERRERA MORA </t>
  </si>
  <si>
    <t>NELSON GONZALEZ</t>
  </si>
  <si>
    <t>YUDITH CASAMOR</t>
  </si>
  <si>
    <t>LIZYAMELL PEREZ PONCE</t>
  </si>
  <si>
    <t>03/04 /1980</t>
  </si>
  <si>
    <t>CARLOS GIL PÉREZ</t>
  </si>
  <si>
    <t>BEATRIZ ÁLVAREZ</t>
  </si>
  <si>
    <t>MARIO DE LA NOVAL ALFONSO</t>
  </si>
  <si>
    <t xml:space="preserve">ADRIANA PENA ALARCÓN </t>
  </si>
  <si>
    <t>TATIANA ELIAS GUERRA</t>
  </si>
  <si>
    <t>YONIER VIAMONTES HERNANDEZ</t>
  </si>
  <si>
    <t>YUSET RUIZ MASSO</t>
  </si>
  <si>
    <t>LAZARO ROJO DELGADO</t>
  </si>
  <si>
    <t>WILFREDO FUENTES CLARO</t>
  </si>
  <si>
    <t>ISRAEL PARDO GALBAN</t>
  </si>
  <si>
    <t>IVAN MANSO POMARES</t>
  </si>
  <si>
    <t>ANAIVYS FERNANDEZ</t>
  </si>
  <si>
    <t>RODY TORRES NARANJO</t>
  </si>
  <si>
    <t>ALBERTO GOMEZ COLMENARES</t>
  </si>
  <si>
    <t>YUDIESKY FERRER SANCHEZ</t>
  </si>
  <si>
    <t>ULISES MUÑOZ</t>
  </si>
  <si>
    <t>ELVIRA ROSABAL NIEVES</t>
  </si>
  <si>
    <t>LAURA HERRERA FONT</t>
  </si>
  <si>
    <t>LUIS ALBERTO GRANADOS DEL SOLAR</t>
  </si>
  <si>
    <t>CLAUDIA TRAPAGA FERNANDEZ</t>
  </si>
  <si>
    <t>JUAN C FUNDORA LEON</t>
  </si>
  <si>
    <t>LAZARO EMANUEL BARCIA PINEDA</t>
  </si>
  <si>
    <t xml:space="preserve">MARLON MORALES MEDINA </t>
  </si>
  <si>
    <t>CARLOS A. GARCIA</t>
  </si>
  <si>
    <t xml:space="preserve">JENNY LOURDES SAN PEDRO PADRON </t>
  </si>
  <si>
    <t xml:space="preserve">LISANDRO FERNANDEZ DIAZ </t>
  </si>
  <si>
    <t xml:space="preserve">ROBERTO REINOSO MESA </t>
  </si>
  <si>
    <t>YANIELYS GARCIA FERNANDEZ</t>
  </si>
  <si>
    <t>JOSE HUMBERTO SANCHEZ</t>
  </si>
  <si>
    <t xml:space="preserve">IVETTE HERNANDEZ </t>
  </si>
  <si>
    <t xml:space="preserve">ARELYS MARTIN GONZALEZ </t>
  </si>
  <si>
    <t xml:space="preserve">INDIRA BLANCO ARCAS </t>
  </si>
  <si>
    <t xml:space="preserve">JAKERATINA JERMOLAJEVA </t>
  </si>
  <si>
    <t>YASMANY FRANK VALDES ESPINOSA</t>
  </si>
  <si>
    <t>ROSAURA RODRIGUEZ</t>
  </si>
  <si>
    <t>ANIER LAZARO RODRIGUEZ</t>
  </si>
  <si>
    <t>YAMILA RODRIGUEZ SIERRA</t>
  </si>
  <si>
    <t xml:space="preserve">IDALMIS IZQUIERDO </t>
  </si>
  <si>
    <t>MARIO MIGUEL MILANES RUIZ</t>
  </si>
  <si>
    <t>KRYSTAL TOMAS</t>
  </si>
  <si>
    <t xml:space="preserve">IVAN  ROIG ACOSTA </t>
  </si>
  <si>
    <t>ARIEL DORADO DE LA IGLESIA</t>
  </si>
  <si>
    <t>MAGALY GATO PILOTO</t>
  </si>
  <si>
    <t>ANGEL FERNANDEZ PEDROSO</t>
  </si>
  <si>
    <t>ELIXABETH ESREVEZ FROMETA</t>
  </si>
  <si>
    <t>PAULA A PALACIOS ARIZA</t>
  </si>
  <si>
    <t>ANDY GOMEZ MARTINEZ</t>
  </si>
  <si>
    <t>ROLANDO FERNANDEZ LACASSE</t>
  </si>
  <si>
    <t>GONZALO GONZALEZ DAGUNA</t>
  </si>
  <si>
    <t xml:space="preserve">GLADYSBER FERRAS SANTOS </t>
  </si>
  <si>
    <t>DANY ESTEBAN REYES CASTRO</t>
  </si>
  <si>
    <t>ANABEL INFANTE GONZALEZ</t>
  </si>
  <si>
    <t>SHEYLA LAZAGA RAVELO</t>
  </si>
  <si>
    <t>JORGE LUIS MILANES VEITIA</t>
  </si>
  <si>
    <t>KATHERIN ESTHER ESCALONA RUIZ</t>
  </si>
  <si>
    <t>YAINERIS GUTIERREZ DIAZ</t>
  </si>
  <si>
    <t>MARTA DE JESUS ALFONSO FUERTES</t>
  </si>
  <si>
    <t>YERINA LEON MIRANDA</t>
  </si>
  <si>
    <t xml:space="preserve"> EDILIA AVILA GARCIA </t>
  </si>
  <si>
    <t>10/171967</t>
  </si>
  <si>
    <t>ALEJANDRO EUGENIO TRIANA</t>
  </si>
  <si>
    <t>MARCO ANTONIO COLMENARES</t>
  </si>
  <si>
    <t>NARLY DAYANA MELENDEZ GONZALEZ</t>
  </si>
  <si>
    <t xml:space="preserve">TAIJANE GARCET URRA </t>
  </si>
  <si>
    <t>DELEVERED</t>
  </si>
  <si>
    <t>YURI RODRIGUEZ CASTILLO</t>
  </si>
  <si>
    <t>06/ 25 /1993</t>
  </si>
  <si>
    <t xml:space="preserve">AYMARA MOLINER MATOS </t>
  </si>
  <si>
    <t>AYRAN AURELIO GALIANO MOLINER</t>
  </si>
  <si>
    <t xml:space="preserve">LESYANET ZAYAS ESTRADA </t>
  </si>
  <si>
    <t>SARAHI PEREZ MOREIRA</t>
  </si>
  <si>
    <t>JOEL TRAVIESO</t>
  </si>
  <si>
    <t>HOY ANDREW JR. SCIVALLY</t>
  </si>
  <si>
    <t>JENNIFER MARIA AGUILAR</t>
  </si>
  <si>
    <t>YULIET CASTELLANO ARAUJO</t>
  </si>
  <si>
    <t>YOEL ARNALDO VAZQUEZ ALVAREZ</t>
  </si>
  <si>
    <t>YESLIETH VAZQUEZ CASTELLANO</t>
  </si>
  <si>
    <t>KEYLIN DIAZ MAURA</t>
  </si>
  <si>
    <t>OLGA LIDIA MAURA LORENZO</t>
  </si>
  <si>
    <t>CARLOS DANIEL CAMACHO GOMEZ</t>
  </si>
  <si>
    <t>NOELVIS ESTEVEZ TIRADOR</t>
  </si>
  <si>
    <t>EIMYCARBALLO CRESPO</t>
  </si>
  <si>
    <t>BERZABET ALVARADO RAMIREZ</t>
  </si>
  <si>
    <t xml:space="preserve">MIGUEL A. BERMUDEZ PONCE </t>
  </si>
  <si>
    <t>MADELINES LEZCANO DUQUESNE</t>
  </si>
  <si>
    <t xml:space="preserve">YANET TAMARA VALDES AVILA </t>
  </si>
  <si>
    <t xml:space="preserve">JENEISY PEREZ RUIZ </t>
  </si>
  <si>
    <t>OLGA MONTALVAN VILLAFANA</t>
  </si>
  <si>
    <t>ORLAY LIMA MONTALVAN</t>
  </si>
  <si>
    <t>MATILDE M. PICADO</t>
  </si>
  <si>
    <t xml:space="preserve">DOMINGA RAMOS SANTOS </t>
  </si>
  <si>
    <t>ANA BEATRIZ BELAUNZARAN</t>
  </si>
  <si>
    <t>AMAURY HERNANDEZ VAZQUEZ</t>
  </si>
  <si>
    <t>YUDIT ABREU DOMINGIEZ</t>
  </si>
  <si>
    <t xml:space="preserve">MANUEL ANTONIO MARQUEZ RODRIGUEZ </t>
  </si>
  <si>
    <t>ROLANDO RAMIREZ SANTANA</t>
  </si>
  <si>
    <t>DAYONCE TORRES RAVELO</t>
  </si>
  <si>
    <t xml:space="preserve">LEANDRO VELAZQUEZ SICILIA </t>
  </si>
  <si>
    <t>ANA DE LA CARIDAD OREILLY MESA</t>
  </si>
  <si>
    <t>LEONARDO ORELLY MESA</t>
  </si>
  <si>
    <t>MAGALY GOMZALEZ RIVERON</t>
  </si>
  <si>
    <t>JANSER OREILLY BOMBINO</t>
  </si>
  <si>
    <t>ESTHER TURIÑO RODRIGUEZ</t>
  </si>
  <si>
    <t>ANGEL REINA ALONSO</t>
  </si>
  <si>
    <t>DEIVIS HERNANDEZ CABRERIZA</t>
  </si>
  <si>
    <t xml:space="preserve">CARLOS MANUEL ACOSTA MARQUEZ </t>
  </si>
  <si>
    <t xml:space="preserve">YAMARY CEDENO JIMENEZ </t>
  </si>
  <si>
    <t>VIDAL ESTEBAN PIOVET MONTANO</t>
  </si>
  <si>
    <t>MILEIDY RODRIGUEZ RIZO</t>
  </si>
  <si>
    <t xml:space="preserve">CELIDA MAGALYS MARTINEZ CABRERA </t>
  </si>
  <si>
    <t xml:space="preserve">YAMARA VASO MACIAS </t>
  </si>
  <si>
    <t xml:space="preserve">YUSBEL SANTOS </t>
  </si>
  <si>
    <t>ANDRES PIQUERA LEON</t>
  </si>
  <si>
    <t>GEIDY SINDY CORRALES GOMEZ</t>
  </si>
  <si>
    <t>YUDEL RAUL VALDEZ</t>
  </si>
  <si>
    <t xml:space="preserve">ASNIER TORRES ZAMORA </t>
  </si>
  <si>
    <t>MARIOLIS ZAMORA CALZADO</t>
  </si>
  <si>
    <t xml:space="preserve">ESTERLINA SANCHEZ GAINZA </t>
  </si>
  <si>
    <t xml:space="preserve">MARIA ELENA SANCHEZ GAINZA </t>
  </si>
  <si>
    <t>ALONDRA AINAVI JIMENEZ LOPEZ</t>
  </si>
  <si>
    <t xml:space="preserve">YARIEL HERNANDEZ LOPEZ </t>
  </si>
  <si>
    <t xml:space="preserve">CARIDAD MODESTA LOPEZ ECHEVERRIA </t>
  </si>
  <si>
    <t>TAMARA BLANCO CASADO</t>
  </si>
  <si>
    <t xml:space="preserve">MARIELA  RODRIGUEZ MARTINEZ </t>
  </si>
  <si>
    <t>LOURDES ALVAREZ GALVEZ</t>
  </si>
  <si>
    <t>OLIMA VALDEZ</t>
  </si>
  <si>
    <t xml:space="preserve">ALEXANDRIA DUNGAN </t>
  </si>
  <si>
    <t>KAREL JAEL RODRIGUEZ</t>
  </si>
  <si>
    <t>DAYAN GARCIA GARCIA</t>
  </si>
  <si>
    <t xml:space="preserve">JOEL MICHAEL BONILLA HERRERA </t>
  </si>
  <si>
    <t xml:space="preserve">YOSDAY MIGUELES JONES </t>
  </si>
  <si>
    <t xml:space="preserve">LEODANIS VALDES RIVAS </t>
  </si>
  <si>
    <t xml:space="preserve">ROILAN TELLEZ CLAVEL </t>
  </si>
  <si>
    <t xml:space="preserve">FELIX ANTONIO GRANDAL HERRERA </t>
  </si>
  <si>
    <t xml:space="preserve">ALFREDO CARLOS TABLADA MARTINEZ </t>
  </si>
  <si>
    <t>AROLVIS BURIA VELAZCO</t>
  </si>
  <si>
    <t>LAZARO PILOTO</t>
  </si>
  <si>
    <t xml:space="preserve">MANUEL PEREZ SUAREZ </t>
  </si>
  <si>
    <t xml:space="preserve">ELIAS BICHARRA GUEDEZ </t>
  </si>
  <si>
    <t>06/11/0967</t>
  </si>
  <si>
    <t>YASMANY LEAL CAMEJO</t>
  </si>
  <si>
    <t>HERIBERTO AGUIAR</t>
  </si>
  <si>
    <t>ALEXANDER GARCIA TAMAYO</t>
  </si>
  <si>
    <t>MAICHAEL RUBEN MANDINA VALLE</t>
  </si>
  <si>
    <t xml:space="preserve">REINIER SANCHEZ FARINAS </t>
  </si>
  <si>
    <t>PEDRO A. SUAREZ CANCIO</t>
  </si>
  <si>
    <t xml:space="preserve">PEDRO RAUL HIDALGO CALDERON </t>
  </si>
  <si>
    <t xml:space="preserve">TAMARA ABREU PACHECO </t>
  </si>
  <si>
    <t>ELBA BEJERANO OTANO</t>
  </si>
  <si>
    <t>LISBETH RIOS</t>
  </si>
  <si>
    <t xml:space="preserve">ISRAEL RAMIREZ GARCIA </t>
  </si>
  <si>
    <t xml:space="preserve">RENE GARCIA </t>
  </si>
  <si>
    <t>YOANDRY RODRIGUEZ HIDALGO</t>
  </si>
  <si>
    <t>MOHAMID TORRES GARCIA</t>
  </si>
  <si>
    <t xml:space="preserve">FRANCIS HERNANDEZ VARGAS </t>
  </si>
  <si>
    <t xml:space="preserve">CLARA CORINA CESPEDEZ </t>
  </si>
  <si>
    <t xml:space="preserve">ARIESKY BARRERA DURAN </t>
  </si>
  <si>
    <t>ADAIN LLERA SORIANO</t>
  </si>
  <si>
    <t>KATIUSKA VERANES PEREZ</t>
  </si>
  <si>
    <t xml:space="preserve">CLEMENTINA PEREZ IBARRA </t>
  </si>
  <si>
    <t xml:space="preserve">GEYLAINE NUÑES GOMEZ </t>
  </si>
  <si>
    <t>ADRIAN  ACOSTA ALONSO</t>
  </si>
  <si>
    <t>LAZARO ANTONIO GACET NOGUEIRAS</t>
  </si>
  <si>
    <t>YUNIEL JOSE PINERO PALAU</t>
  </si>
  <si>
    <t xml:space="preserve">NANCY SALCEDO ALFONSO </t>
  </si>
  <si>
    <t xml:space="preserve">MAIKEL SANTIAGO </t>
  </si>
  <si>
    <t>MARIO ANGEL VALLADARES CAMEJO</t>
  </si>
  <si>
    <t xml:space="preserve">YAMISEL CUTINO ALARCON </t>
  </si>
  <si>
    <t xml:space="preserve">DAYRA ROBAINA NUÑEZ </t>
  </si>
  <si>
    <t>YENISLEY MACHADO MACHADO</t>
  </si>
  <si>
    <t xml:space="preserve">ANTONIO ESTRADA REYES </t>
  </si>
  <si>
    <t>BIOLQUIS FUENTES GUZMAN</t>
  </si>
  <si>
    <t>HERNANDO FABIAN SALINAS MONTERO</t>
  </si>
  <si>
    <t xml:space="preserve">DIORKA FUENTES GUZMAN </t>
  </si>
  <si>
    <t xml:space="preserve">YOEL DIAZ DIAZ </t>
  </si>
  <si>
    <t>JEANNCARLO UZIEL LUNA BARRANTES</t>
  </si>
  <si>
    <t>NIURKA PALMERO SERRANO</t>
  </si>
  <si>
    <t>REINALDO CHEDIAK</t>
  </si>
  <si>
    <t xml:space="preserve">DARISBEL DE LA CARIDAD RODRIGUEZ DIAZ </t>
  </si>
  <si>
    <t>ADALBERTO AMARO MORENO</t>
  </si>
  <si>
    <t xml:space="preserve">ALIS ERENIA URRA DOMINGUEZ </t>
  </si>
  <si>
    <t xml:space="preserve">DANIEL CHAVEZ AROZARENA </t>
  </si>
  <si>
    <t>YOANIS DE LOS PANEQUE VALERINO</t>
  </si>
  <si>
    <t xml:space="preserve">DARIEN MARTINEZ ARQUEZ </t>
  </si>
  <si>
    <t xml:space="preserve">MELISSA MONDUY SERRANO </t>
  </si>
  <si>
    <t>ALEXANDER PEDRO DUBROCO</t>
  </si>
  <si>
    <t xml:space="preserve">YOSBEL CUETO LINARES </t>
  </si>
  <si>
    <t xml:space="preserve">TANIA VELIZ RODRIGUEZ </t>
  </si>
  <si>
    <t xml:space="preserve">MARLIN VELIZ RODRIGUEZ </t>
  </si>
  <si>
    <t xml:space="preserve">YENEISY RAMIREZ FAJARDO </t>
  </si>
  <si>
    <t xml:space="preserve">LEANAIRIS MARTINEZ MIRANDA </t>
  </si>
  <si>
    <t>IBIS PARET CASTRO</t>
  </si>
  <si>
    <t xml:space="preserve">ADILEIDI SANCHEZ GUTIERREZ </t>
  </si>
  <si>
    <t xml:space="preserve">EMIL LOPEZ CASTILLO </t>
  </si>
  <si>
    <t>HECTOR LUIS LAVASTIDA MENA</t>
  </si>
  <si>
    <t xml:space="preserve">SABEL CONSUEGRA </t>
  </si>
  <si>
    <t>ANISLEY PILOTO</t>
  </si>
  <si>
    <t>ELISBETH  HERNANDEZ BETANCOURT-NO ES PACIENTE DE NOSOTRO</t>
  </si>
  <si>
    <t xml:space="preserve">EVARISTA M CORDERO PEREZ </t>
  </si>
  <si>
    <t xml:space="preserve">JOSE CARLOS  CHIRINO CABRERA </t>
  </si>
  <si>
    <t>LAZARO TOMAS HERNANDEZ CABRERA</t>
  </si>
  <si>
    <t xml:space="preserve">ROBERTO FABELO PEREZ </t>
  </si>
  <si>
    <t xml:space="preserve">WILLIAMS ALEXANDER CASTRO MORALES </t>
  </si>
  <si>
    <t xml:space="preserve">SARA PATRICIA RUEDA </t>
  </si>
  <si>
    <t>60 NW 127 TH AVE 33182</t>
  </si>
  <si>
    <t>WILLIAM SANCHEZ GUTIERREZ</t>
  </si>
  <si>
    <t>786 9284975</t>
  </si>
  <si>
    <t>3801 SW 112 TH AVE APT 44 MIAMI FL 33165</t>
  </si>
  <si>
    <t>DANIEL REYES RAMIREZ</t>
  </si>
  <si>
    <t>305 799 6062</t>
  </si>
  <si>
    <t>1465 NW 19 TH TERR APT 111 MIAMI FL 33125</t>
  </si>
  <si>
    <t>DAYME DE A CARIDAD IGLESIAS HERNANDEZ</t>
  </si>
  <si>
    <t>1950 SW 121 ST CT APT 243 MIAMI FL 33175</t>
  </si>
  <si>
    <t xml:space="preserve">ERIC DOMINGUEZ RODRIGUEZ </t>
  </si>
  <si>
    <t>2602 13 TH ST SW LEHIGH ACRES FL 33976</t>
  </si>
  <si>
    <t>YOSMANY CARDENAS BRAVO</t>
  </si>
  <si>
    <t xml:space="preserve">VICTOR FIGUEREDO SANTIESTEBAN </t>
  </si>
  <si>
    <t>786 288 6411</t>
  </si>
  <si>
    <t>11419 SW 4 TH CT 33174</t>
  </si>
  <si>
    <t>OISLAN ALMENTEROS CAMPANIONI</t>
  </si>
  <si>
    <t>305 986 4025</t>
  </si>
  <si>
    <t>5640 NW 5 TH CT MIAMI FL 33127</t>
  </si>
  <si>
    <t xml:space="preserve">ROBERTO RIVERON ARIAS </t>
  </si>
  <si>
    <t>786 2886405</t>
  </si>
  <si>
    <t>1510 SW 76 TH CT MIAMI FFL 33144</t>
  </si>
  <si>
    <t>VIVIANA ALONSO GARRIDO</t>
  </si>
  <si>
    <t>305360 0307</t>
  </si>
  <si>
    <t>885 SW 29 TH AVE MIAMI FL 33135</t>
  </si>
  <si>
    <t xml:space="preserve">MAIDELYS TORRES GONZALEZ </t>
  </si>
  <si>
    <t>786 992 2566</t>
  </si>
  <si>
    <t>26125 SW 144 TH AVE APT 506 HOMESTEAD FL 33032</t>
  </si>
  <si>
    <t xml:space="preserve">MAYKEL GONZALEZ LOPEZ </t>
  </si>
  <si>
    <t>305 562 1908</t>
  </si>
  <si>
    <t>11904 SW 110 ST MIAMI FL 33186</t>
  </si>
  <si>
    <t xml:space="preserve">DANY MARQUEZ BALLING </t>
  </si>
  <si>
    <t>786 531 3026</t>
  </si>
  <si>
    <t>2501 SW 128 TH CT MIAMI FL 33175</t>
  </si>
  <si>
    <t>YOSDAN REYES BRAVO</t>
  </si>
  <si>
    <t>786 541 44 35</t>
  </si>
  <si>
    <t>780 NW 13 TH CT APT 405 MIAMI FL 33125</t>
  </si>
  <si>
    <t xml:space="preserve">YUSNIER MARTINEZ ALMORA </t>
  </si>
  <si>
    <t>305 930 0758</t>
  </si>
  <si>
    <t>570 NW  114 TH AVE APT 202 MIAMI FL 33172</t>
  </si>
  <si>
    <t>LEYANET DE LA CARIDAD JIMENEZ BELLO</t>
  </si>
  <si>
    <t xml:space="preserve">352 219 5731 </t>
  </si>
  <si>
    <t>12401 W OKEECHOBEE RD LOTE 36 HIALEAH FL 33018</t>
  </si>
  <si>
    <t xml:space="preserve">RAYNER TRIANA LLERENA </t>
  </si>
  <si>
    <t>754 249 5250</t>
  </si>
  <si>
    <t>15 W 4 ST APT 2 33010</t>
  </si>
  <si>
    <t xml:space="preserve">REINERY TRIANA LLANES </t>
  </si>
  <si>
    <t>954 275 9185</t>
  </si>
  <si>
    <t>7532 W 20 TH AVE APT 203 HIALEAH 33016</t>
  </si>
  <si>
    <t xml:space="preserve">KEVIN DIAZ IBARRA </t>
  </si>
  <si>
    <t>305 431 9141</t>
  </si>
  <si>
    <t>7532 W 20 TH AVE APT 203 HIALEAH FL 33016</t>
  </si>
  <si>
    <t xml:space="preserve">WALFRIDO SOSA LOZANO </t>
  </si>
  <si>
    <t>786 531 9052</t>
  </si>
  <si>
    <t xml:space="preserve">NAYLEN CARTAYA RODRIGUEZ </t>
  </si>
  <si>
    <t>786 784 5416</t>
  </si>
  <si>
    <t>19350 SW 103 CT CUTLER BAY 33157</t>
  </si>
  <si>
    <t xml:space="preserve">JORGE FENTE BLANCO </t>
  </si>
  <si>
    <t>786 702 8490</t>
  </si>
  <si>
    <t>RAIZA M GOMEZ CARMENATE</t>
  </si>
  <si>
    <t>786 221 9492</t>
  </si>
  <si>
    <t>1441 W PL HIALEAH 33012</t>
  </si>
  <si>
    <t>HENDRICH OSORIA JARROSAY</t>
  </si>
  <si>
    <t>786 684 9562</t>
  </si>
  <si>
    <t>1470 NW 36 ST MIAMI FL 33142 APT 821</t>
  </si>
  <si>
    <t xml:space="preserve">RAMON A COLON </t>
  </si>
  <si>
    <t>786 788 5458</t>
  </si>
  <si>
    <t>3094 NW 95 ST 33147</t>
  </si>
  <si>
    <t xml:space="preserve">ROSBELMAR SOTO RAMOS </t>
  </si>
  <si>
    <t>305 746 2564</t>
  </si>
  <si>
    <t>17337 NW 7 AVE APT 103 SOLA BELLA 33169</t>
  </si>
  <si>
    <t xml:space="preserve">JOSE ALBERTO FABRE DE CARDENAS </t>
  </si>
  <si>
    <t>786 760 3483</t>
  </si>
  <si>
    <t>74 W 8 ST HIALEAH FL 33010 APT 3</t>
  </si>
  <si>
    <t xml:space="preserve">EULALIA FIGUEROA </t>
  </si>
  <si>
    <t>305 769 8624</t>
  </si>
  <si>
    <t>4344 SE 142 ND CT MIAMI FL 33175</t>
  </si>
  <si>
    <t xml:space="preserve">MAGDALIS MONTES DE OCA </t>
  </si>
  <si>
    <t>786 294 3983</t>
  </si>
  <si>
    <t>1755 W 60 ST APT D306</t>
  </si>
  <si>
    <t>MILEIVIS VIRGEN GERRERO COUTO</t>
  </si>
  <si>
    <t>786 645 8368</t>
  </si>
  <si>
    <t>1820 W 53 RD APT 213</t>
  </si>
  <si>
    <t xml:space="preserve">SAMUEL JOSE GONZALEZ VARONA </t>
  </si>
  <si>
    <t>813 568 2416</t>
  </si>
  <si>
    <t>71 NW 76 ST APT 2 MIAMI FL 33150</t>
  </si>
  <si>
    <t>JAVIER ARROYO ALONSO</t>
  </si>
  <si>
    <t>MARINA DE COCONUT GROVE EN LA 27 DEL SW</t>
  </si>
  <si>
    <t>SURISADAY ASIN IZQUIERDO</t>
  </si>
  <si>
    <t>305 832 9841</t>
  </si>
  <si>
    <t>4800 NW 177 TH ST MIAMI GARDENS FL 33055</t>
  </si>
  <si>
    <t xml:space="preserve">CELENNA SALAZAR MUSTELIER </t>
  </si>
  <si>
    <t>786 531 1972</t>
  </si>
  <si>
    <t>370 NE 54 TH ST APT 1 MIAMI FL 33137</t>
  </si>
  <si>
    <t xml:space="preserve">OSMARI ALLEN CARDONA </t>
  </si>
  <si>
    <t>786 587 2830</t>
  </si>
  <si>
    <t>420 NW 132 ST NORTH MIAMI 33168</t>
  </si>
  <si>
    <t xml:space="preserve">DAMARIS CARILLO MORA </t>
  </si>
  <si>
    <t>786 817 1280</t>
  </si>
  <si>
    <t>4605 SW 128 AVE 33175</t>
  </si>
  <si>
    <t xml:space="preserve">ORTELIO PIMENTEL RAMIREZ </t>
  </si>
  <si>
    <t>305 879 2127</t>
  </si>
  <si>
    <t>9000 SW 18 TH TER</t>
  </si>
  <si>
    <t xml:space="preserve">JOSE ENRIQUE RIVERO QUINTANA </t>
  </si>
  <si>
    <t>786 622 5219</t>
  </si>
  <si>
    <t xml:space="preserve">14165 SW 87 ST </t>
  </si>
  <si>
    <t>DAYANA MARIA LEYVA MORENO</t>
  </si>
  <si>
    <t>786 403 6943</t>
  </si>
  <si>
    <t>RIDER LOPEZ BARROSO</t>
  </si>
  <si>
    <t>786 836 4780</t>
  </si>
  <si>
    <t xml:space="preserve">7121 SW 22 ND ST </t>
  </si>
  <si>
    <t xml:space="preserve">MIRNA D MORENO PERNA </t>
  </si>
  <si>
    <t>786 403 6944</t>
  </si>
  <si>
    <t xml:space="preserve">ROLANDO ROJAS PEREZ </t>
  </si>
  <si>
    <t>786 599 2142</t>
  </si>
  <si>
    <t>1614 NW 12 TH ST CAPE CORAL FL 33909</t>
  </si>
  <si>
    <t xml:space="preserve">YAMILA CABRERA CASTANEDA </t>
  </si>
  <si>
    <t>786 704 7376</t>
  </si>
  <si>
    <t>2925 NW 96 TH ST MIAMI FL 33147</t>
  </si>
  <si>
    <t xml:space="preserve">MANUEL JESUS GONZALEZ BERROA </t>
  </si>
  <si>
    <t>786 212 3443</t>
  </si>
  <si>
    <t>2917 NW 90 ST MIAMI FL 33147</t>
  </si>
  <si>
    <t>YARITZA ZURITA OSORIO</t>
  </si>
  <si>
    <t>786 691 8510</t>
  </si>
  <si>
    <t>1551 W OKECHOBEE RD APT 7 HIALEAH FL 33010</t>
  </si>
  <si>
    <t>GRISEL ENSENAT SUST</t>
  </si>
  <si>
    <t>786 423 0226</t>
  </si>
  <si>
    <t xml:space="preserve">MARIO LUIS BARAS GONZALEZ </t>
  </si>
  <si>
    <t>305 504 1375</t>
  </si>
  <si>
    <t>25860 SW 127 PL HOMESTEAD FL 33032</t>
  </si>
  <si>
    <t>RAYCEL BALBIER CASTILLO</t>
  </si>
  <si>
    <t>786 691 7751</t>
  </si>
  <si>
    <t>1551 W OKEECHOBEE RD APT 5 HIALEAH FL 33010</t>
  </si>
  <si>
    <t>YOSELIN GONZALEZ INSUA</t>
  </si>
  <si>
    <t>786 718 6168</t>
  </si>
  <si>
    <t xml:space="preserve">505 NW 72 ND AVE 33126 APT 305 </t>
  </si>
  <si>
    <t>VICTORIA ALINA VALDESPINO BRETO</t>
  </si>
  <si>
    <t>786 542 7859</t>
  </si>
  <si>
    <t>126 NW 202 TERR APT 905 33169</t>
  </si>
  <si>
    <t>TAHERA BARBARA VALDESPINO SANTURTUN</t>
  </si>
  <si>
    <t>305 842 9895</t>
  </si>
  <si>
    <t>LUIS ALBERTO DIAZ LEE</t>
  </si>
  <si>
    <t>786 236 9663</t>
  </si>
  <si>
    <t>14713 SW 171 ST TER 33187</t>
  </si>
  <si>
    <t xml:space="preserve">ANGEL LEONEL MOLINA PEREZ </t>
  </si>
  <si>
    <t>786 3708332</t>
  </si>
  <si>
    <t>505 NW 72 ND AVE 33126</t>
  </si>
  <si>
    <t xml:space="preserve">YONATAN D MONTOYA </t>
  </si>
  <si>
    <t>954 251 7003</t>
  </si>
  <si>
    <t>530 NE 161 ST 33162</t>
  </si>
  <si>
    <t xml:space="preserve">JOSE ALEJANDRO FERNANDEZ BANOS </t>
  </si>
  <si>
    <t>786 506 9499</t>
  </si>
  <si>
    <t>14185 SW 87 TH ST APT A 209</t>
  </si>
  <si>
    <t># OF PATIENTS</t>
  </si>
  <si>
    <t>Amount</t>
  </si>
  <si>
    <t>PAGO DE MAS</t>
  </si>
  <si>
    <t>MONTO TOTAL DADO</t>
  </si>
  <si>
    <t>Envelopes</t>
  </si>
  <si>
    <t>Date Paid</t>
  </si>
  <si>
    <t>NOTES</t>
  </si>
  <si>
    <t>LA OFICINA NO DA LOS ID PRINTED POR LO CUAL EL REPORTE QUE TENEMOS ES EL DE LSO CHOFERES</t>
  </si>
  <si>
    <t>TODOS</t>
  </si>
  <si>
    <t>CORA</t>
  </si>
  <si>
    <t>RECIBIDO 05/01/2026</t>
  </si>
  <si>
    <t>MARCOS</t>
  </si>
  <si>
    <t>GLADES -NORTH MIAMI</t>
  </si>
  <si>
    <t>NO RECEIVED</t>
  </si>
  <si>
    <t xml:space="preserve">DIDIANA </t>
  </si>
  <si>
    <t>QUE PASO CON EL PACIENTE DE ADEL</t>
  </si>
  <si>
    <t>QUEDO EN CORA</t>
  </si>
  <si>
    <t>RECIBIDO</t>
  </si>
  <si>
    <t xml:space="preserve">NO RECIBIDO </t>
  </si>
  <si>
    <t>GLADES-HOMESTEAD</t>
  </si>
  <si>
    <t>SE LE DEBEN $ 200</t>
  </si>
  <si>
    <t xml:space="preserve">TOTAL 76 PACIENTES  CORA DE LA SEMANA DEL 25 DE MAYO AL 29 </t>
  </si>
  <si>
    <t>SEMANA DEL 25 AL 29 /20 PACIENTES</t>
  </si>
  <si>
    <t xml:space="preserve">TOTAL 29 PACIENTES DIDIANA HASTA MAYO 29 </t>
  </si>
  <si>
    <t xml:space="preserve">CORA </t>
  </si>
  <si>
    <t xml:space="preserve">ALEJANDRO </t>
  </si>
  <si>
    <t>SE LE DEBE $600 A CORA</t>
  </si>
  <si>
    <t>SE LE DEBE A CORA 300</t>
  </si>
  <si>
    <t>PACIENTES</t>
  </si>
  <si>
    <t>AMOUNT</t>
  </si>
  <si>
    <t>TOTAL CORA</t>
  </si>
  <si>
    <t>ALEJANDRO DA</t>
  </si>
  <si>
    <t>DEUDA 3 PACIENTES 06/04</t>
  </si>
  <si>
    <t>ALEJENDRO</t>
  </si>
  <si>
    <t xml:space="preserve">ZELLE RB </t>
  </si>
  <si>
    <t>cheques</t>
  </si>
  <si>
    <t>finca</t>
  </si>
  <si>
    <t>GERARDO LAKELAND</t>
  </si>
  <si>
    <t>ZELLE</t>
  </si>
  <si>
    <r>
      <rPr>
        <rFont val="Calibri"/>
        <b/>
        <color rgb="FFFF0000"/>
        <sz val="11.0"/>
      </rPr>
      <t>ALEJANDRO-</t>
    </r>
    <r>
      <rPr>
        <rFont val="Calibri"/>
        <b/>
        <color rgb="FFFF0000"/>
        <sz val="11.0"/>
      </rPr>
      <t>LAKELAND</t>
    </r>
  </si>
  <si>
    <r>
      <rPr>
        <rFont val="Calibri"/>
        <b/>
        <color rgb="FFFF0000"/>
        <sz val="11.0"/>
      </rPr>
      <t>ALEJANDRO-</t>
    </r>
    <r>
      <rPr>
        <rFont val="Calibri"/>
        <b/>
        <color rgb="FFFF0000"/>
        <sz val="11.0"/>
      </rPr>
      <t>LAKELAND</t>
    </r>
  </si>
  <si>
    <t>PATIENT</t>
  </si>
  <si>
    <t>MARTINEZ, YOLEYSIS</t>
  </si>
  <si>
    <t>ES PACIENTE DE NOSOTROS PERO NO TENGO REGISTRO DE HABER RECIBIDO ESA MEDICACION</t>
  </si>
  <si>
    <t>5/14 - Judith Casamor</t>
  </si>
  <si>
    <t>BURTON, TIMOTHY</t>
  </si>
  <si>
    <t>NO ENCONTRAMOS NI RECIBO NI MEDICAMENTO</t>
  </si>
  <si>
    <t>5/14 - Luis Alberto Granados Del Solar</t>
  </si>
  <si>
    <t>HERNANDEZ, DELVIS</t>
  </si>
  <si>
    <t>5/19 - Yoleysis Martinez</t>
  </si>
  <si>
    <t>OFFICE</t>
  </si>
  <si>
    <t>BERMUDEZ, MIGUEL</t>
  </si>
  <si>
    <t>5/26 - Ivan Roig</t>
  </si>
  <si>
    <t>CAMACHO, CARLOS</t>
  </si>
  <si>
    <t>5/26 - Leandro Velazquez</t>
  </si>
  <si>
    <t>MARTINEZ, CELIDA</t>
  </si>
  <si>
    <t>5/27 - Carlota Portillo</t>
  </si>
  <si>
    <t>MAURA LORENZO, OLGA LINDA</t>
  </si>
  <si>
    <t>5/29 - Tamara Blanco Casado</t>
  </si>
  <si>
    <t>OREILLY, ANA</t>
  </si>
  <si>
    <t>5/29 - Yasmany Leal</t>
  </si>
  <si>
    <t>PIOVET, VIDAL</t>
  </si>
  <si>
    <t>5/29 - Lazaro Santos</t>
  </si>
  <si>
    <t>SE FUE EN LOS RECIBOS DEL 0610</t>
  </si>
  <si>
    <t>ROIG, IVAN</t>
  </si>
  <si>
    <t>OFICINA ESPERANDO ID</t>
  </si>
  <si>
    <t>5/29 - Roilan Tellez</t>
  </si>
  <si>
    <t>VELAZQUEZ, LEANDRO</t>
  </si>
  <si>
    <t>5/29 - Leodanis Valdes</t>
  </si>
  <si>
    <t>ALVAREZ, LOURDES</t>
  </si>
  <si>
    <t>6/1 - Michael Mandina</t>
  </si>
  <si>
    <t>CARDONA, CLAUDIA</t>
  </si>
  <si>
    <t>6/2 - Rene Garcia</t>
  </si>
  <si>
    <t>NO ES DE NOSOTROS</t>
  </si>
  <si>
    <t>dungan, alexandria</t>
  </si>
  <si>
    <t>Esterlina, Sanchez</t>
  </si>
  <si>
    <t>FORTUN, YUDEL</t>
  </si>
  <si>
    <t>HERNANDEZ, YARIEL</t>
  </si>
  <si>
    <t>LOPEZ, MODESTA</t>
  </si>
  <si>
    <t>Piquera, Andres</t>
  </si>
  <si>
    <t>PORTILLO, CARLOTA</t>
  </si>
  <si>
    <t>Rodriguez Martinez, Mariela</t>
  </si>
  <si>
    <t>RODRIGUEZ, KAREL</t>
  </si>
  <si>
    <t>Sanchez, Maria</t>
  </si>
  <si>
    <t>TORRES, ASNIER</t>
  </si>
  <si>
    <t>VALDES, OLIMA</t>
  </si>
  <si>
    <t>Zamora, Mariolis</t>
  </si>
  <si>
    <t>FIDALGO, KEVIN</t>
  </si>
  <si>
    <t>VALDES, YANET</t>
  </si>
  <si>
    <t>bichara, elias</t>
  </si>
  <si>
    <t>BUIRIA, AROLVIS</t>
  </si>
  <si>
    <t>CASADO, TAMARA BLANCO</t>
  </si>
  <si>
    <t>TAMPA ROUTE</t>
  </si>
  <si>
    <t>DURIBE, LILIANNE</t>
  </si>
  <si>
    <t>FERNANDEZ PEDROSO, ANGEL</t>
  </si>
  <si>
    <t>GARCIA SOTOLONGO, ARLETY</t>
  </si>
  <si>
    <t>garcia, alexander</t>
  </si>
  <si>
    <t>gill aguilar, heriberto</t>
  </si>
  <si>
    <t>GRANADOS, MARIA</t>
  </si>
  <si>
    <t>grandal, felix</t>
  </si>
  <si>
    <t>HERNANDEZ, AMAURY</t>
  </si>
  <si>
    <t>leal, yasmany</t>
  </si>
  <si>
    <t>DIESLAN</t>
  </si>
  <si>
    <t>migueles jones, yosday</t>
  </si>
  <si>
    <t>PILOTO, LAZARO</t>
  </si>
  <si>
    <t>SANTOS, LAZARO</t>
  </si>
  <si>
    <t>SUAREZ, MANUEL</t>
  </si>
  <si>
    <t>suarez, pedro</t>
  </si>
  <si>
    <t>tellez, roilan</t>
  </si>
  <si>
    <t xml:space="preserve">RECEIVED-PENDING ID </t>
  </si>
  <si>
    <t>valdes, leodanis</t>
  </si>
  <si>
    <t>VAZQUEZ, YOEL</t>
  </si>
  <si>
    <t>VASO, YAMARA</t>
  </si>
  <si>
    <t>Raydel These are the patients we are missing medication delivery forms on and we do NOT get paid without them</t>
  </si>
  <si>
    <t>Except for Maria Granados</t>
  </si>
  <si>
    <t>And Yudel Fortun</t>
  </si>
  <si>
    <t>TOTAL PACIENTES DORAL</t>
  </si>
  <si>
    <t>ADEL</t>
  </si>
  <si>
    <t>CINTHIA</t>
  </si>
  <si>
    <t>SE LE DIO PARA LOS PACIENTES DEL 05/01/2026</t>
  </si>
  <si>
    <t>SE LE PAGO A LA ESPOSA MONICA</t>
  </si>
  <si>
    <t>Didiana tenía dos pacientes extra en dinero del 05/05</t>
  </si>
  <si>
    <t>RECIBIDO 05/07/2026</t>
  </si>
  <si>
    <t>RECIBIDO 04/30/2026</t>
  </si>
  <si>
    <t>SE LE PAGO UN PACIENTE DE MAS</t>
  </si>
  <si>
    <t>SE LE PAGO 2 PACIENTES DE MAS</t>
  </si>
  <si>
    <t>RECIBIDO 04/29/2026</t>
  </si>
  <si>
    <t>ERAN 3300 PERO SE LE HABIA PAGADO 1 DE MAS</t>
  </si>
  <si>
    <t>TOTAL PACIENTES: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</si>
</sst>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/d/yyyy"/>
    <numFmt numFmtId="166" formatCode="_(&quot;$&quot;* #,##0.00_);_(&quot;$&quot;* \(#,##0.00\);_(&quot;$&quot;* &quot;-&quot;??_);_(@_)"/>
    <numFmt numFmtId="167" formatCode="&quot;$&quot;#,##0"/>
  </numFmts>
  <fonts count="19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color rgb="FFFF0000"/>
      <name val="Arial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sz val="12.0"/>
      <color rgb="FF000000"/>
      <name val="Arial"/>
    </font>
    <font>
      <sz val="12.0"/>
      <color rgb="FF000000"/>
      <name val="Arial"/>
      <scheme val="minor"/>
    </font>
    <font>
      <sz val="12.0"/>
      <color rgb="FFFF0000"/>
      <name val="Arial"/>
      <scheme val="minor"/>
    </font>
    <font>
      <b/>
      <sz val="11.0"/>
      <color theme="1"/>
      <name val="Calibri"/>
    </font>
    <font>
      <b/>
      <sz val="11.0"/>
      <color rgb="FFFF0000"/>
      <name val="Calibri"/>
    </font>
    <font>
      <b/>
      <color theme="1"/>
      <name val="Arial"/>
      <scheme val="minor"/>
    </font>
    <font>
      <b/>
      <color rgb="FFFF0000"/>
      <name val="Arial"/>
      <scheme val="minor"/>
    </font>
    <font>
      <b/>
      <sz val="11.0"/>
      <color rgb="FF000000"/>
      <name val="Calibri"/>
    </font>
    <font>
      <b/>
      <color rgb="FF000000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FFD966"/>
        <bgColor rgb="FFFFD966"/>
      </patternFill>
    </fill>
    <fill>
      <patternFill patternType="solid">
        <fgColor rgb="FFE6B8AF"/>
        <bgColor rgb="FFE6B8AF"/>
      </patternFill>
    </fill>
    <fill>
      <patternFill patternType="solid">
        <fgColor rgb="FFDD7E6B"/>
        <bgColor rgb="FFDD7E6B"/>
      </patternFill>
    </fill>
    <fill>
      <patternFill patternType="solid">
        <fgColor rgb="FFA2C4C9"/>
        <bgColor rgb="FFA2C4C9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3D85C6"/>
        <bgColor rgb="FF3D85C6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</fills>
  <borders count="6">
    <border/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Font="1"/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2" fontId="1" numFmtId="164" xfId="0" applyAlignment="1" applyFont="1" applyNumberFormat="1">
      <alignment horizontal="center" readingOrder="0" vertical="bottom"/>
    </xf>
    <xf borderId="0" fillId="2" fontId="3" numFmtId="164" xfId="0" applyAlignment="1" applyFont="1" applyNumberFormat="1">
      <alignment horizontal="center" readingOrder="0"/>
    </xf>
    <xf borderId="0" fillId="2" fontId="3" numFmtId="0" xfId="0" applyAlignment="1" applyFont="1">
      <alignment horizontal="center" readingOrder="0"/>
    </xf>
    <xf borderId="0" fillId="2" fontId="1" numFmtId="165" xfId="0" applyAlignment="1" applyFont="1" applyNumberFormat="1">
      <alignment horizontal="center" readingOrder="0" vertical="bottom"/>
    </xf>
    <xf borderId="0" fillId="2" fontId="1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2" fontId="1" numFmtId="165" xfId="0" applyAlignment="1" applyFont="1" applyNumberFormat="1">
      <alignment horizontal="center" vertical="bottom"/>
    </xf>
    <xf borderId="0" fillId="3" fontId="1" numFmtId="0" xfId="0" applyAlignment="1" applyFill="1" applyFont="1">
      <alignment readingOrder="0" vertical="bottom"/>
    </xf>
    <xf borderId="0" fillId="2" fontId="3" numFmtId="165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4" fontId="1" numFmtId="0" xfId="0" applyAlignment="1" applyFill="1" applyFont="1">
      <alignment horizontal="center" vertical="bottom"/>
    </xf>
    <xf borderId="0" fillId="0" fontId="1" numFmtId="0" xfId="0" applyAlignment="1" applyFont="1">
      <alignment readingOrder="0" vertical="bottom"/>
    </xf>
    <xf borderId="0" fillId="2" fontId="5" numFmtId="164" xfId="0" applyAlignment="1" applyFont="1" applyNumberFormat="1">
      <alignment horizontal="center" readingOrder="0" vertical="bottom"/>
    </xf>
    <xf borderId="0" fillId="2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4" fontId="1" numFmtId="164" xfId="0" applyAlignment="1" applyFont="1" applyNumberFormat="1">
      <alignment horizontal="center" readingOrder="0" vertical="bottom"/>
    </xf>
    <xf borderId="0" fillId="5" fontId="1" numFmtId="0" xfId="0" applyAlignment="1" applyFill="1" applyFont="1">
      <alignment horizontal="center" readingOrder="0" vertical="bottom"/>
    </xf>
    <xf borderId="0" fillId="2" fontId="6" numFmtId="164" xfId="0" applyAlignment="1" applyFont="1" applyNumberFormat="1">
      <alignment horizontal="center" vertical="bottom"/>
    </xf>
    <xf borderId="0" fillId="2" fontId="6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2" fontId="6" numFmtId="165" xfId="0" applyAlignment="1" applyFont="1" applyNumberFormat="1">
      <alignment horizontal="center" vertical="bottom"/>
    </xf>
    <xf borderId="0" fillId="2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0" fillId="2" fontId="6" numFmtId="164" xfId="0" applyAlignment="1" applyFont="1" applyNumberFormat="1">
      <alignment horizontal="center" readingOrder="0" vertical="bottom"/>
    </xf>
    <xf borderId="0" fillId="6" fontId="1" numFmtId="0" xfId="0" applyAlignment="1" applyFill="1" applyFont="1">
      <alignment horizontal="center" readingOrder="0" vertical="bottom"/>
    </xf>
    <xf borderId="0" fillId="4" fontId="2" numFmtId="164" xfId="0" applyAlignment="1" applyFont="1" applyNumberFormat="1">
      <alignment horizontal="center" readingOrder="0"/>
    </xf>
    <xf borderId="0" fillId="6" fontId="5" numFmtId="164" xfId="0" applyAlignment="1" applyFont="1" applyNumberFormat="1">
      <alignment horizontal="center" readingOrder="0" vertical="bottom"/>
    </xf>
    <xf borderId="0" fillId="6" fontId="5" numFmtId="0" xfId="0" applyAlignment="1" applyFont="1">
      <alignment horizontal="center" readingOrder="0" vertical="bottom"/>
    </xf>
    <xf borderId="0" fillId="6" fontId="5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vertical="bottom"/>
    </xf>
    <xf borderId="0" fillId="0" fontId="9" numFmtId="164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0" fontId="9" numFmtId="165" xfId="0" applyAlignment="1" applyFont="1" applyNumberFormat="1">
      <alignment horizontal="center" readingOrder="0"/>
    </xf>
    <xf borderId="0" fillId="0" fontId="9" numFmtId="0" xfId="0" applyAlignment="1" applyFont="1">
      <alignment horizontal="center"/>
    </xf>
    <xf borderId="0" fillId="0" fontId="9" numFmtId="0" xfId="0" applyFont="1"/>
    <xf borderId="0" fillId="4" fontId="9" numFmtId="164" xfId="0" applyAlignment="1" applyFont="1" applyNumberFormat="1">
      <alignment horizontal="center" readingOrder="0"/>
    </xf>
    <xf borderId="0" fillId="5" fontId="9" numFmtId="0" xfId="0" applyAlignment="1" applyFont="1">
      <alignment horizontal="center" readingOrder="0"/>
    </xf>
    <xf borderId="0" fillId="6" fontId="9" numFmtId="0" xfId="0" applyAlignment="1" applyFont="1">
      <alignment horizontal="center" readingOrder="0"/>
    </xf>
    <xf borderId="0" fillId="2" fontId="9" numFmtId="164" xfId="0" applyAlignment="1" applyFont="1" applyNumberFormat="1">
      <alignment horizontal="center" readingOrder="0"/>
    </xf>
    <xf borderId="0" fillId="2" fontId="9" numFmtId="165" xfId="0" applyAlignment="1" applyFont="1" applyNumberFormat="1">
      <alignment horizontal="center" readingOrder="0"/>
    </xf>
    <xf borderId="0" fillId="7" fontId="9" numFmtId="164" xfId="0" applyAlignment="1" applyFill="1" applyFont="1" applyNumberFormat="1">
      <alignment horizontal="center" readingOrder="0"/>
    </xf>
    <xf borderId="0" fillId="4" fontId="9" numFmtId="0" xfId="0" applyAlignment="1" applyFont="1">
      <alignment horizontal="center" readingOrder="0"/>
    </xf>
    <xf borderId="0" fillId="8" fontId="9" numFmtId="164" xfId="0" applyAlignment="1" applyFill="1" applyFont="1" applyNumberFormat="1">
      <alignment horizontal="center" readingOrder="0"/>
    </xf>
    <xf borderId="0" fillId="9" fontId="9" numFmtId="164" xfId="0" applyAlignment="1" applyFill="1" applyFont="1" applyNumberFormat="1">
      <alignment horizontal="center" readingOrder="0"/>
    </xf>
    <xf borderId="0" fillId="10" fontId="9" numFmtId="164" xfId="0" applyAlignment="1" applyFill="1" applyFont="1" applyNumberFormat="1">
      <alignment horizontal="center" readingOrder="0"/>
    </xf>
    <xf borderId="0" fillId="11" fontId="9" numFmtId="164" xfId="0" applyAlignment="1" applyFill="1" applyFont="1" applyNumberFormat="1">
      <alignment horizontal="center" readingOrder="0"/>
    </xf>
    <xf borderId="0" fillId="11" fontId="9" numFmtId="0" xfId="0" applyAlignment="1" applyFont="1">
      <alignment horizontal="center" readingOrder="0"/>
    </xf>
    <xf borderId="0" fillId="12" fontId="9" numFmtId="164" xfId="0" applyAlignment="1" applyFill="1" applyFont="1" applyNumberFormat="1">
      <alignment horizontal="center" readingOrder="0"/>
    </xf>
    <xf borderId="0" fillId="12" fontId="8" numFmtId="164" xfId="0" applyAlignment="1" applyFont="1" applyNumberFormat="1">
      <alignment horizontal="center" vertical="bottom"/>
    </xf>
    <xf borderId="0" fillId="12" fontId="8" numFmtId="164" xfId="0" applyAlignment="1" applyFont="1" applyNumberFormat="1">
      <alignment horizontal="center" readingOrder="0" vertical="bottom"/>
    </xf>
    <xf borderId="0" fillId="13" fontId="8" numFmtId="164" xfId="0" applyAlignment="1" applyFill="1" applyFont="1" applyNumberFormat="1">
      <alignment horizontal="center" readingOrder="0" vertical="bottom"/>
    </xf>
    <xf borderId="0" fillId="14" fontId="9" numFmtId="164" xfId="0" applyAlignment="1" applyFill="1" applyFont="1" applyNumberFormat="1">
      <alignment horizontal="center" readingOrder="0"/>
    </xf>
    <xf borderId="0" fillId="15" fontId="9" numFmtId="164" xfId="0" applyAlignment="1" applyFill="1" applyFont="1" applyNumberFormat="1">
      <alignment horizontal="center" readingOrder="0"/>
    </xf>
    <xf borderId="0" fillId="16" fontId="9" numFmtId="164" xfId="0" applyAlignment="1" applyFill="1" applyFont="1" applyNumberFormat="1">
      <alignment horizontal="center" readingOrder="0"/>
    </xf>
    <xf borderId="0" fillId="17" fontId="9" numFmtId="164" xfId="0" applyAlignment="1" applyFill="1" applyFont="1" applyNumberFormat="1">
      <alignment horizontal="center" readingOrder="0"/>
    </xf>
    <xf borderId="0" fillId="5" fontId="9" numFmtId="164" xfId="0" applyAlignment="1" applyFont="1" applyNumberFormat="1">
      <alignment horizontal="center" readingOrder="0"/>
    </xf>
    <xf borderId="0" fillId="0" fontId="8" numFmtId="164" xfId="0" applyAlignment="1" applyFont="1" applyNumberFormat="1">
      <alignment horizontal="center" vertical="bottom"/>
    </xf>
    <xf borderId="0" fillId="0" fontId="10" numFmtId="164" xfId="0" applyAlignment="1" applyFont="1" applyNumberFormat="1">
      <alignment horizontal="center" vertical="bottom"/>
    </xf>
    <xf borderId="0" fillId="0" fontId="11" numFmtId="0" xfId="0" applyAlignment="1" applyFont="1">
      <alignment horizontal="center" readingOrder="0"/>
    </xf>
    <xf borderId="0" fillId="0" fontId="11" numFmtId="164" xfId="0" applyAlignment="1" applyFont="1" applyNumberFormat="1">
      <alignment horizontal="center" readingOrder="0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center" readingOrder="0"/>
    </xf>
    <xf borderId="0" fillId="0" fontId="12" numFmtId="0" xfId="0" applyFont="1"/>
    <xf borderId="0" fillId="2" fontId="10" numFmtId="0" xfId="0" applyAlignment="1" applyFont="1">
      <alignment horizontal="center" readingOrder="0" vertical="bottom"/>
    </xf>
    <xf borderId="0" fillId="2" fontId="10" numFmtId="164" xfId="0" applyAlignment="1" applyFont="1" applyNumberForma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0" fillId="0" fontId="8" numFmtId="164" xfId="0" applyAlignment="1" applyFont="1" applyNumberFormat="1">
      <alignment horizontal="center" readingOrder="0" vertical="bottom"/>
    </xf>
    <xf borderId="0" fillId="2" fontId="8" numFmtId="164" xfId="0" applyAlignment="1" applyFont="1" applyNumberFormat="1">
      <alignment horizontal="center" readingOrder="0" vertical="bottom"/>
    </xf>
    <xf borderId="0" fillId="2" fontId="10" numFmtId="165" xfId="0" applyAlignment="1" applyFont="1" applyNumberFormat="1">
      <alignment horizontal="center" readingOrder="0" vertical="bottom"/>
    </xf>
    <xf borderId="0" fillId="0" fontId="9" numFmtId="164" xfId="0" applyAlignment="1" applyFont="1" applyNumberFormat="1">
      <alignment readingOrder="0"/>
    </xf>
    <xf borderId="1" fillId="0" fontId="13" numFmtId="0" xfId="0" applyAlignment="1" applyBorder="1" applyFont="1">
      <alignment horizontal="center" readingOrder="0"/>
    </xf>
    <xf borderId="1" fillId="2" fontId="13" numFmtId="0" xfId="0" applyAlignment="1" applyBorder="1" applyFont="1">
      <alignment horizontal="center" readingOrder="0"/>
    </xf>
    <xf borderId="1" fillId="0" fontId="13" numFmtId="166" xfId="0" applyAlignment="1" applyBorder="1" applyFont="1" applyNumberFormat="1">
      <alignment horizontal="center" readingOrder="0"/>
    </xf>
    <xf borderId="1" fillId="6" fontId="13" numFmtId="0" xfId="0" applyAlignment="1" applyBorder="1" applyFont="1">
      <alignment horizontal="center" readingOrder="0"/>
    </xf>
    <xf borderId="0" fillId="0" fontId="13" numFmtId="0" xfId="0" applyAlignment="1" applyFont="1">
      <alignment horizontal="center"/>
    </xf>
    <xf borderId="0" fillId="0" fontId="13" numFmtId="0" xfId="0" applyFont="1"/>
    <xf borderId="0" fillId="0" fontId="13" numFmtId="164" xfId="0" applyAlignment="1" applyFont="1" applyNumberFormat="1">
      <alignment horizontal="center" readingOrder="0"/>
    </xf>
    <xf borderId="0" fillId="0" fontId="13" numFmtId="0" xfId="0" applyAlignment="1" applyFont="1">
      <alignment horizontal="center" readingOrder="0"/>
    </xf>
    <xf borderId="1" fillId="5" fontId="13" numFmtId="0" xfId="0" applyAlignment="1" applyBorder="1" applyFont="1">
      <alignment horizontal="center" readingOrder="0"/>
    </xf>
    <xf borderId="1" fillId="0" fontId="13" numFmtId="166" xfId="0" applyBorder="1" applyFont="1" applyNumberFormat="1"/>
    <xf borderId="1" fillId="0" fontId="14" numFmtId="166" xfId="0" applyBorder="1" applyFont="1" applyNumberFormat="1"/>
    <xf borderId="0" fillId="0" fontId="13" numFmtId="164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18" fontId="15" numFmtId="0" xfId="0" applyAlignment="1" applyFill="1" applyFont="1">
      <alignment horizontal="center" readingOrder="0"/>
    </xf>
    <xf borderId="0" fillId="0" fontId="15" numFmtId="166" xfId="0" applyAlignment="1" applyFont="1" applyNumberFormat="1">
      <alignment horizontal="center"/>
    </xf>
    <xf borderId="0" fillId="0" fontId="15" numFmtId="0" xfId="0" applyAlignment="1" applyFont="1">
      <alignment horizontal="center"/>
    </xf>
    <xf borderId="0" fillId="6" fontId="16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16" fontId="15" numFmtId="0" xfId="0" applyAlignment="1" applyFont="1">
      <alignment horizontal="center" readingOrder="0"/>
    </xf>
    <xf borderId="0" fillId="6" fontId="16" numFmtId="166" xfId="0" applyAlignment="1" applyFont="1" applyNumberFormat="1">
      <alignment horizontal="center" readingOrder="0"/>
    </xf>
    <xf borderId="0" fillId="0" fontId="15" numFmtId="164" xfId="0" applyAlignment="1" applyFont="1" applyNumberFormat="1">
      <alignment horizontal="center" readingOrder="0"/>
    </xf>
    <xf borderId="0" fillId="4" fontId="13" numFmtId="0" xfId="0" applyAlignment="1" applyFont="1">
      <alignment horizontal="center" readingOrder="0"/>
    </xf>
    <xf borderId="0" fillId="0" fontId="13" numFmtId="166" xfId="0" applyFont="1" applyNumberFormat="1"/>
    <xf borderId="0" fillId="0" fontId="13" numFmtId="166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14" numFmtId="166" xfId="0" applyAlignment="1" applyFont="1" applyNumberFormat="1">
      <alignment readingOrder="0"/>
    </xf>
    <xf borderId="0" fillId="0" fontId="17" numFmtId="0" xfId="0" applyAlignment="1" applyFont="1">
      <alignment horizontal="center" readingOrder="0"/>
    </xf>
    <xf borderId="0" fillId="2" fontId="13" numFmtId="164" xfId="0" applyAlignment="1" applyFont="1" applyNumberFormat="1">
      <alignment horizontal="center" readingOrder="0"/>
    </xf>
    <xf borderId="0" fillId="2" fontId="13" numFmtId="0" xfId="0" applyAlignment="1" applyFont="1">
      <alignment horizontal="center" readingOrder="0"/>
    </xf>
    <xf borderId="0" fillId="2" fontId="13" numFmtId="166" xfId="0" applyFont="1" applyNumberFormat="1"/>
    <xf borderId="0" fillId="5" fontId="13" numFmtId="166" xfId="0" applyFont="1" applyNumberFormat="1"/>
    <xf borderId="0" fillId="2" fontId="13" numFmtId="0" xfId="0" applyFont="1"/>
    <xf borderId="0" fillId="6" fontId="13" numFmtId="0" xfId="0" applyAlignment="1" applyFont="1">
      <alignment horizontal="center" readingOrder="0"/>
    </xf>
    <xf borderId="0" fillId="19" fontId="13" numFmtId="0" xfId="0" applyAlignment="1" applyFill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8" numFmtId="164" xfId="0" applyAlignment="1" applyFont="1" applyNumberFormat="1">
      <alignment horizontal="center" readingOrder="0"/>
    </xf>
    <xf borderId="0" fillId="20" fontId="17" numFmtId="0" xfId="0" applyAlignment="1" applyFill="1" applyFont="1">
      <alignment horizontal="center" readingOrder="0"/>
    </xf>
    <xf borderId="0" fillId="0" fontId="18" numFmtId="166" xfId="0" applyAlignment="1" applyFont="1" applyNumberFormat="1">
      <alignment horizontal="center"/>
    </xf>
    <xf borderId="0" fillId="0" fontId="17" numFmtId="166" xfId="0" applyFont="1" applyNumberFormat="1"/>
    <xf borderId="0" fillId="0" fontId="16" numFmtId="0" xfId="0" applyAlignment="1" applyFont="1">
      <alignment horizontal="center" readingOrder="0"/>
    </xf>
    <xf borderId="0" fillId="0" fontId="17" numFmtId="0" xfId="0" applyFont="1"/>
    <xf borderId="0" fillId="0" fontId="18" numFmtId="166" xfId="0" applyAlignment="1" applyFont="1" applyNumberFormat="1">
      <alignment horizontal="center" readingOrder="0"/>
    </xf>
    <xf borderId="0" fillId="0" fontId="18" numFmtId="0" xfId="0" applyAlignment="1" applyFont="1">
      <alignment horizontal="center" readingOrder="0"/>
    </xf>
    <xf borderId="0" fillId="4" fontId="17" numFmtId="0" xfId="0" applyAlignment="1" applyFont="1">
      <alignment horizontal="center" readingOrder="0"/>
    </xf>
    <xf borderId="0" fillId="0" fontId="17" numFmtId="166" xfId="0" applyAlignment="1" applyFont="1" applyNumberFormat="1">
      <alignment readingOrder="0"/>
    </xf>
    <xf borderId="0" fillId="0" fontId="14" numFmtId="0" xfId="0" applyFont="1"/>
    <xf borderId="0" fillId="0" fontId="17" numFmtId="164" xfId="0" applyAlignment="1" applyFont="1" applyNumberFormat="1">
      <alignment horizontal="center" readingOrder="0"/>
    </xf>
    <xf borderId="0" fillId="21" fontId="14" numFmtId="0" xfId="0" applyAlignment="1" applyFill="1" applyFont="1">
      <alignment horizontal="center" readingOrder="0"/>
    </xf>
    <xf borderId="0" fillId="21" fontId="17" numFmtId="0" xfId="0" applyAlignment="1" applyFont="1">
      <alignment horizontal="center" readingOrder="0"/>
    </xf>
    <xf borderId="0" fillId="18" fontId="13" numFmtId="0" xfId="0" applyAlignment="1" applyFont="1">
      <alignment horizontal="center" readingOrder="0"/>
    </xf>
    <xf borderId="0" fillId="0" fontId="14" numFmtId="166" xfId="0" applyFont="1" applyNumberFormat="1"/>
    <xf borderId="0" fillId="12" fontId="13" numFmtId="0" xfId="0" applyAlignment="1" applyFont="1">
      <alignment horizontal="center" readingOrder="0"/>
    </xf>
    <xf borderId="0" fillId="0" fontId="13" numFmtId="167" xfId="0" applyAlignment="1" applyFont="1" applyNumberFormat="1">
      <alignment readingOrder="0"/>
    </xf>
    <xf borderId="0" fillId="22" fontId="13" numFmtId="0" xfId="0" applyAlignment="1" applyFill="1" applyFont="1">
      <alignment horizontal="center" readingOrder="0"/>
    </xf>
    <xf borderId="0" fillId="23" fontId="13" numFmtId="0" xfId="0" applyAlignment="1" applyFill="1" applyFont="1">
      <alignment horizontal="center" readingOrder="0"/>
    </xf>
    <xf borderId="0" fillId="21" fontId="13" numFmtId="0" xfId="0" applyAlignment="1" applyFont="1">
      <alignment horizontal="center" readingOrder="0"/>
    </xf>
    <xf borderId="0" fillId="20" fontId="13" numFmtId="0" xfId="0" applyAlignment="1" applyFont="1">
      <alignment horizontal="center" readingOrder="0"/>
    </xf>
    <xf borderId="0" fillId="24" fontId="13" numFmtId="0" xfId="0" applyAlignment="1" applyFill="1" applyFont="1">
      <alignment horizontal="center" readingOrder="0"/>
    </xf>
    <xf borderId="0" fillId="24" fontId="13" numFmtId="0" xfId="0" applyAlignment="1" applyFont="1">
      <alignment readingOrder="0"/>
    </xf>
    <xf borderId="0" fillId="25" fontId="13" numFmtId="0" xfId="0" applyAlignment="1" applyFill="1" applyFont="1">
      <alignment horizontal="center" readingOrder="0"/>
    </xf>
    <xf borderId="0" fillId="8" fontId="13" numFmtId="0" xfId="0" applyAlignment="1" applyFont="1">
      <alignment horizontal="center" readingOrder="0"/>
    </xf>
    <xf borderId="0" fillId="9" fontId="13" numFmtId="0" xfId="0" applyAlignment="1" applyFont="1">
      <alignment horizontal="center" readingOrder="0"/>
    </xf>
    <xf borderId="0" fillId="5" fontId="13" numFmtId="0" xfId="0" applyAlignment="1" applyFont="1">
      <alignment horizontal="center" readingOrder="0"/>
    </xf>
    <xf borderId="0" fillId="5" fontId="13" numFmtId="164" xfId="0" applyAlignment="1" applyFont="1" applyNumberFormat="1">
      <alignment horizontal="center" readingOrder="0"/>
    </xf>
    <xf borderId="0" fillId="6" fontId="14" numFmtId="0" xfId="0" applyAlignment="1" applyFont="1">
      <alignment readingOrder="0"/>
    </xf>
    <xf borderId="0" fillId="2" fontId="18" numFmtId="166" xfId="0" applyAlignment="1" applyFont="1" applyNumberFormat="1">
      <alignment horizontal="center" readingOrder="0"/>
    </xf>
    <xf borderId="0" fillId="0" fontId="16" numFmtId="166" xfId="0" applyAlignment="1" applyFont="1" applyNumberFormat="1">
      <alignment horizontal="center" readingOrder="0"/>
    </xf>
    <xf borderId="1" fillId="0" fontId="13" numFmtId="0" xfId="0" applyBorder="1" applyFont="1"/>
    <xf borderId="0" fillId="0" fontId="14" numFmtId="164" xfId="0" applyAlignment="1" applyFont="1" applyNumberFormat="1">
      <alignment horizontal="center" readingOrder="0"/>
    </xf>
    <xf borderId="0" fillId="16" fontId="13" numFmtId="0" xfId="0" applyAlignment="1" applyFont="1">
      <alignment horizontal="center" readingOrder="0"/>
    </xf>
    <xf borderId="0" fillId="15" fontId="13" numFmtId="0" xfId="0" applyAlignment="1" applyFont="1">
      <alignment horizontal="center" readingOrder="0"/>
    </xf>
    <xf borderId="0" fillId="6" fontId="13" numFmtId="0" xfId="0" applyAlignment="1" applyFont="1">
      <alignment readingOrder="0"/>
    </xf>
    <xf borderId="0" fillId="26" fontId="13" numFmtId="0" xfId="0" applyAlignment="1" applyFill="1" applyFont="1">
      <alignment horizontal="center" readingOrder="0"/>
    </xf>
    <xf borderId="0" fillId="7" fontId="13" numFmtId="0" xfId="0" applyAlignment="1" applyFont="1">
      <alignment horizontal="center" readingOrder="0"/>
    </xf>
    <xf borderId="0" fillId="6" fontId="18" numFmtId="166" xfId="0" applyAlignment="1" applyFont="1" applyNumberFormat="1">
      <alignment horizontal="center" readingOrder="0"/>
    </xf>
    <xf borderId="0" fillId="3" fontId="13" numFmtId="0" xfId="0" applyAlignment="1" applyFont="1">
      <alignment horizontal="center" readingOrder="0"/>
    </xf>
    <xf borderId="0" fillId="3" fontId="18" numFmtId="166" xfId="0" applyAlignment="1" applyFont="1" applyNumberFormat="1">
      <alignment horizontal="center" readingOrder="0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164" xfId="0" applyAlignment="1" applyFont="1" applyNumberFormat="1">
      <alignment readingOrder="0"/>
    </xf>
    <xf borderId="0" fillId="6" fontId="4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2" fontId="1" numFmtId="164" xfId="0" applyAlignment="1" applyFont="1" applyNumberFormat="1">
      <alignment horizontal="left" readingOrder="0" vertical="bottom"/>
    </xf>
    <xf borderId="0" fillId="0" fontId="2" numFmtId="164" xfId="0" applyAlignment="1" applyFont="1" applyNumberFormat="1">
      <alignment readingOrder="0"/>
    </xf>
    <xf borderId="0" fillId="2" fontId="5" numFmtId="0" xfId="0" applyAlignment="1" applyFont="1">
      <alignment horizontal="left" readingOrder="0" vertical="bottom"/>
    </xf>
    <xf borderId="0" fillId="0" fontId="2" numFmtId="0" xfId="0" applyAlignment="1" applyFont="1">
      <alignment horizontal="left"/>
    </xf>
    <xf borderId="2" fillId="0" fontId="13" numFmtId="0" xfId="0" applyAlignment="1" applyBorder="1" applyFont="1">
      <alignment horizontal="center" readingOrder="0"/>
    </xf>
    <xf borderId="0" fillId="0" fontId="15" numFmtId="0" xfId="0" applyFont="1"/>
    <xf borderId="0" fillId="0" fontId="15" numFmtId="164" xfId="0" applyAlignment="1" applyFont="1" applyNumberFormat="1">
      <alignment readingOrder="0"/>
    </xf>
    <xf borderId="2" fillId="0" fontId="15" numFmtId="0" xfId="0" applyAlignment="1" applyBorder="1" applyFont="1">
      <alignment horizontal="center"/>
    </xf>
    <xf borderId="0" fillId="0" fontId="15" numFmtId="0" xfId="0" applyAlignment="1" applyFont="1">
      <alignment readingOrder="0"/>
    </xf>
    <xf borderId="0" fillId="0" fontId="3" numFmtId="0" xfId="0" applyFont="1"/>
    <xf borderId="0" fillId="0" fontId="15" numFmtId="166" xfId="0" applyAlignment="1" applyFont="1" applyNumberFormat="1">
      <alignment horizontal="center" readingOrder="0"/>
    </xf>
    <xf borderId="3" fillId="0" fontId="15" numFmtId="164" xfId="0" applyAlignment="1" applyBorder="1" applyFont="1" applyNumberFormat="1">
      <alignment horizontal="center" readingOrder="0"/>
    </xf>
    <xf borderId="3" fillId="0" fontId="15" numFmtId="0" xfId="0" applyAlignment="1" applyBorder="1" applyFont="1">
      <alignment horizontal="center" readingOrder="0"/>
    </xf>
    <xf borderId="4" fillId="0" fontId="15" numFmtId="166" xfId="0" applyAlignment="1" applyBorder="1" applyFont="1" applyNumberFormat="1">
      <alignment horizontal="center"/>
    </xf>
    <xf borderId="4" fillId="6" fontId="16" numFmtId="166" xfId="0" applyAlignment="1" applyBorder="1" applyFont="1" applyNumberFormat="1">
      <alignment horizontal="center" readingOrder="0"/>
    </xf>
    <xf borderId="3" fillId="0" fontId="15" numFmtId="166" xfId="0" applyAlignment="1" applyBorder="1" applyFont="1" applyNumberFormat="1">
      <alignment horizontal="center"/>
    </xf>
    <xf borderId="3" fillId="0" fontId="16" numFmtId="0" xfId="0" applyAlignment="1" applyBorder="1" applyFont="1">
      <alignment horizontal="center" readingOrder="0"/>
    </xf>
    <xf borderId="3" fillId="0" fontId="15" numFmtId="0" xfId="0" applyAlignment="1" applyBorder="1" applyFont="1">
      <alignment horizontal="center"/>
    </xf>
    <xf borderId="3" fillId="5" fontId="15" numFmtId="0" xfId="0" applyAlignment="1" applyBorder="1" applyFont="1">
      <alignment horizontal="center" readingOrder="0"/>
    </xf>
    <xf borderId="3" fillId="27" fontId="15" numFmtId="0" xfId="0" applyAlignment="1" applyBorder="1" applyFill="1" applyFont="1">
      <alignment horizontal="center" readingOrder="0"/>
    </xf>
    <xf borderId="3" fillId="0" fontId="15" numFmtId="164" xfId="0" applyAlignment="1" applyBorder="1" applyFont="1" applyNumberFormat="1">
      <alignment horizontal="center"/>
    </xf>
    <xf borderId="2" fillId="0" fontId="15" numFmtId="0" xfId="0" applyAlignment="1" applyBorder="1" applyFont="1">
      <alignment horizontal="center" readingOrder="0"/>
    </xf>
    <xf borderId="5" fillId="0" fontId="1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23.63"/>
    <col customWidth="1" min="3" max="3" width="13.88"/>
    <col customWidth="1" min="4" max="4" width="40.13"/>
    <col customWidth="1" min="5" max="5" width="16.13"/>
    <col customWidth="1" min="6" max="6" width="25.75"/>
    <col customWidth="1" min="7" max="7" width="18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4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>
        <v>46172.0</v>
      </c>
      <c r="B2" s="7" t="s">
        <v>7</v>
      </c>
      <c r="C2" s="8">
        <v>35422.0</v>
      </c>
      <c r="D2" s="7" t="s">
        <v>8</v>
      </c>
      <c r="E2" s="9">
        <v>8.133344534E9</v>
      </c>
      <c r="F2" s="7" t="s">
        <v>9</v>
      </c>
    </row>
    <row r="3">
      <c r="A3" s="6">
        <v>46172.0</v>
      </c>
      <c r="B3" s="7" t="s">
        <v>10</v>
      </c>
      <c r="C3" s="6">
        <v>26931.0</v>
      </c>
      <c r="D3" s="7" t="s">
        <v>11</v>
      </c>
      <c r="E3" s="9">
        <f>18134654391</f>
        <v>18134654391</v>
      </c>
      <c r="F3" s="7" t="s">
        <v>9</v>
      </c>
    </row>
    <row r="4">
      <c r="A4" s="6">
        <v>46172.0</v>
      </c>
      <c r="B4" s="7" t="s">
        <v>12</v>
      </c>
      <c r="C4" s="6">
        <v>36257.0</v>
      </c>
      <c r="D4" s="7" t="s">
        <v>13</v>
      </c>
      <c r="E4" s="9" t="s">
        <v>14</v>
      </c>
      <c r="F4" s="7" t="s">
        <v>9</v>
      </c>
    </row>
    <row r="5">
      <c r="A5" s="6">
        <v>46172.0</v>
      </c>
      <c r="B5" s="7" t="s">
        <v>15</v>
      </c>
      <c r="C5" s="6">
        <v>29814.0</v>
      </c>
      <c r="D5" s="7" t="s">
        <v>16</v>
      </c>
      <c r="E5" s="9" t="s">
        <v>17</v>
      </c>
      <c r="F5" s="7" t="s">
        <v>9</v>
      </c>
    </row>
    <row r="6">
      <c r="A6" s="6">
        <v>46172.0</v>
      </c>
      <c r="B6" s="7" t="s">
        <v>18</v>
      </c>
      <c r="C6" s="6">
        <v>38093.0</v>
      </c>
      <c r="D6" s="7" t="s">
        <v>16</v>
      </c>
      <c r="E6" s="9" t="s">
        <v>17</v>
      </c>
      <c r="F6" s="7" t="s">
        <v>9</v>
      </c>
    </row>
    <row r="7">
      <c r="A7" s="6">
        <v>46172.0</v>
      </c>
      <c r="B7" s="7" t="s">
        <v>19</v>
      </c>
      <c r="C7" s="6">
        <v>30205.0</v>
      </c>
      <c r="D7" s="7" t="s">
        <v>20</v>
      </c>
      <c r="E7" s="9" t="s">
        <v>21</v>
      </c>
      <c r="F7" s="7" t="s">
        <v>9</v>
      </c>
    </row>
    <row r="8">
      <c r="A8" s="6">
        <v>46172.0</v>
      </c>
      <c r="B8" s="7" t="s">
        <v>22</v>
      </c>
      <c r="C8" s="8">
        <v>30271.0</v>
      </c>
      <c r="D8" s="7" t="s">
        <v>20</v>
      </c>
      <c r="E8" s="9" t="s">
        <v>23</v>
      </c>
      <c r="F8" s="7" t="s">
        <v>9</v>
      </c>
    </row>
    <row r="9">
      <c r="A9" s="6">
        <v>46172.0</v>
      </c>
      <c r="B9" s="7" t="s">
        <v>24</v>
      </c>
      <c r="C9" s="8">
        <v>28441.0</v>
      </c>
      <c r="D9" s="7" t="s">
        <v>25</v>
      </c>
      <c r="E9" s="9" t="s">
        <v>26</v>
      </c>
      <c r="F9" s="7" t="s">
        <v>9</v>
      </c>
    </row>
    <row r="10">
      <c r="A10" s="6">
        <v>46172.0</v>
      </c>
      <c r="B10" s="7" t="s">
        <v>27</v>
      </c>
      <c r="C10" s="6">
        <v>35218.0</v>
      </c>
      <c r="D10" s="7" t="s">
        <v>28</v>
      </c>
      <c r="E10" s="9" t="s">
        <v>29</v>
      </c>
      <c r="F10" s="7" t="s">
        <v>9</v>
      </c>
    </row>
    <row r="11">
      <c r="A11" s="10">
        <v>46188.0</v>
      </c>
      <c r="B11" s="11" t="s">
        <v>30</v>
      </c>
      <c r="C11" s="12">
        <v>37299.0</v>
      </c>
      <c r="D11" s="13"/>
      <c r="E11" s="14" t="s">
        <v>31</v>
      </c>
      <c r="F11" s="7" t="s">
        <v>9</v>
      </c>
      <c r="G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10">
        <v>46188.0</v>
      </c>
      <c r="B12" s="11" t="s">
        <v>32</v>
      </c>
      <c r="C12" s="6">
        <v>37346.0</v>
      </c>
      <c r="E12" s="9" t="s">
        <v>33</v>
      </c>
      <c r="F12" s="7" t="s">
        <v>9</v>
      </c>
    </row>
    <row r="13">
      <c r="A13" s="10">
        <v>46188.0</v>
      </c>
      <c r="B13" s="11" t="s">
        <v>34</v>
      </c>
      <c r="C13" s="6">
        <v>34009.0</v>
      </c>
      <c r="E13" s="9" t="s">
        <v>35</v>
      </c>
      <c r="F13" s="7" t="s">
        <v>9</v>
      </c>
    </row>
    <row r="14">
      <c r="A14" s="10">
        <v>46188.0</v>
      </c>
      <c r="B14" s="11" t="s">
        <v>36</v>
      </c>
      <c r="C14" s="6">
        <v>34496.0</v>
      </c>
      <c r="E14" s="9" t="s">
        <v>37</v>
      </c>
      <c r="F14" s="7" t="s">
        <v>9</v>
      </c>
    </row>
    <row r="15">
      <c r="A15" s="10">
        <v>46188.0</v>
      </c>
      <c r="B15" s="11" t="s">
        <v>38</v>
      </c>
      <c r="C15" s="6">
        <v>26271.0</v>
      </c>
      <c r="E15" s="9" t="s">
        <v>39</v>
      </c>
      <c r="F15" s="7" t="s">
        <v>9</v>
      </c>
    </row>
    <row r="16">
      <c r="A16" s="10">
        <v>46188.0</v>
      </c>
      <c r="B16" s="11" t="s">
        <v>40</v>
      </c>
      <c r="C16" s="8">
        <v>28109.0</v>
      </c>
      <c r="E16" s="9" t="s">
        <v>41</v>
      </c>
      <c r="F16" s="7" t="s">
        <v>9</v>
      </c>
    </row>
    <row r="17">
      <c r="A17" s="10">
        <v>46188.0</v>
      </c>
      <c r="B17" s="11" t="s">
        <v>42</v>
      </c>
      <c r="C17" s="6">
        <v>33367.0</v>
      </c>
      <c r="E17" s="9" t="s">
        <v>43</v>
      </c>
      <c r="F17" s="7" t="s">
        <v>9</v>
      </c>
    </row>
    <row r="18">
      <c r="A18" s="10">
        <v>46188.0</v>
      </c>
      <c r="B18" s="11" t="s">
        <v>44</v>
      </c>
      <c r="C18" s="6">
        <v>31298.0</v>
      </c>
      <c r="E18" s="9" t="s">
        <v>45</v>
      </c>
      <c r="F18" s="7" t="s">
        <v>9</v>
      </c>
    </row>
    <row r="19">
      <c r="A19" s="10">
        <v>46188.0</v>
      </c>
      <c r="B19" s="11" t="s">
        <v>46</v>
      </c>
      <c r="C19" s="8">
        <v>35367.0</v>
      </c>
      <c r="E19" s="9" t="s">
        <v>47</v>
      </c>
      <c r="F19" s="7" t="s">
        <v>9</v>
      </c>
    </row>
    <row r="20">
      <c r="A20" s="12">
        <v>46188.0</v>
      </c>
      <c r="C20" s="15"/>
      <c r="E20" s="15"/>
    </row>
    <row r="21">
      <c r="A21" s="12">
        <v>46188.0</v>
      </c>
      <c r="C21" s="15"/>
      <c r="E21" s="15"/>
    </row>
    <row r="22">
      <c r="A22" s="12">
        <v>46188.0</v>
      </c>
      <c r="C22" s="15"/>
      <c r="E22" s="15"/>
    </row>
    <row r="23">
      <c r="A23" s="12">
        <v>46188.0</v>
      </c>
      <c r="C23" s="15"/>
      <c r="E23" s="15"/>
    </row>
    <row r="24">
      <c r="A24" s="12">
        <v>46188.0</v>
      </c>
      <c r="C24" s="15"/>
      <c r="E24" s="15"/>
    </row>
    <row r="25">
      <c r="A25" s="12">
        <v>46188.0</v>
      </c>
      <c r="C25" s="15"/>
      <c r="E25" s="15"/>
    </row>
    <row r="26">
      <c r="A26" s="15"/>
      <c r="C26" s="15"/>
      <c r="E26" s="15"/>
    </row>
    <row r="27">
      <c r="A27" s="15"/>
      <c r="C27" s="15"/>
      <c r="E27" s="15"/>
    </row>
    <row r="28">
      <c r="A28" s="15"/>
      <c r="C28" s="15"/>
      <c r="E28" s="15"/>
    </row>
    <row r="29">
      <c r="A29" s="15"/>
      <c r="C29" s="15"/>
      <c r="E29" s="15"/>
    </row>
    <row r="30">
      <c r="A30" s="15"/>
      <c r="C30" s="15"/>
      <c r="E30" s="15"/>
    </row>
    <row r="31">
      <c r="A31" s="15"/>
      <c r="C31" s="15"/>
      <c r="E31" s="15"/>
    </row>
    <row r="32">
      <c r="A32" s="15"/>
      <c r="C32" s="15"/>
      <c r="E32" s="15"/>
    </row>
    <row r="33">
      <c r="A33" s="15"/>
      <c r="C33" s="15"/>
      <c r="E33" s="15"/>
    </row>
    <row r="34">
      <c r="A34" s="15"/>
      <c r="C34" s="15"/>
      <c r="E34" s="15"/>
    </row>
    <row r="35">
      <c r="A35" s="15"/>
      <c r="C35" s="15"/>
      <c r="E35" s="15"/>
    </row>
    <row r="36">
      <c r="A36" s="15"/>
      <c r="C36" s="15"/>
      <c r="E36" s="15"/>
    </row>
    <row r="37">
      <c r="A37" s="15"/>
      <c r="C37" s="15"/>
      <c r="E37" s="15"/>
    </row>
    <row r="38">
      <c r="A38" s="15"/>
      <c r="C38" s="15"/>
      <c r="E38" s="15"/>
    </row>
    <row r="39">
      <c r="A39" s="15"/>
      <c r="C39" s="15"/>
      <c r="E39" s="15"/>
    </row>
    <row r="40">
      <c r="A40" s="15"/>
      <c r="C40" s="15"/>
      <c r="E40" s="15"/>
    </row>
    <row r="41">
      <c r="A41" s="15"/>
      <c r="C41" s="15"/>
      <c r="E41" s="15"/>
    </row>
    <row r="42">
      <c r="A42" s="15"/>
      <c r="C42" s="15"/>
      <c r="E42" s="15"/>
    </row>
    <row r="43">
      <c r="A43" s="15"/>
      <c r="C43" s="15"/>
      <c r="E43" s="15"/>
    </row>
    <row r="44">
      <c r="A44" s="15"/>
      <c r="C44" s="15"/>
      <c r="E44" s="15"/>
    </row>
    <row r="45">
      <c r="A45" s="15"/>
      <c r="C45" s="15"/>
      <c r="E45" s="15"/>
    </row>
    <row r="46">
      <c r="A46" s="15"/>
      <c r="C46" s="15"/>
      <c r="E46" s="15"/>
    </row>
    <row r="47">
      <c r="A47" s="15"/>
      <c r="C47" s="15"/>
      <c r="E47" s="15"/>
    </row>
    <row r="48">
      <c r="A48" s="15"/>
      <c r="C48" s="15"/>
      <c r="E48" s="15"/>
    </row>
    <row r="49">
      <c r="A49" s="15"/>
      <c r="C49" s="15"/>
      <c r="E49" s="15"/>
    </row>
    <row r="50">
      <c r="A50" s="15"/>
      <c r="C50" s="15"/>
      <c r="E50" s="15"/>
    </row>
    <row r="51">
      <c r="A51" s="15"/>
      <c r="C51" s="15"/>
      <c r="E51" s="15"/>
    </row>
    <row r="52">
      <c r="A52" s="15"/>
      <c r="C52" s="15"/>
      <c r="E52" s="15"/>
    </row>
    <row r="53">
      <c r="A53" s="15"/>
      <c r="C53" s="15"/>
      <c r="E53" s="15"/>
    </row>
    <row r="54">
      <c r="A54" s="15"/>
      <c r="C54" s="15"/>
      <c r="E54" s="15"/>
    </row>
    <row r="55">
      <c r="A55" s="15"/>
      <c r="C55" s="15"/>
      <c r="E55" s="15"/>
    </row>
    <row r="56">
      <c r="A56" s="15"/>
      <c r="C56" s="15"/>
      <c r="E56" s="15"/>
    </row>
    <row r="57">
      <c r="A57" s="15"/>
      <c r="C57" s="15"/>
      <c r="E57" s="15"/>
    </row>
    <row r="58">
      <c r="A58" s="15"/>
      <c r="C58" s="15"/>
      <c r="E58" s="15"/>
    </row>
    <row r="59">
      <c r="A59" s="15"/>
      <c r="C59" s="15"/>
      <c r="E59" s="15"/>
    </row>
    <row r="60">
      <c r="A60" s="15"/>
      <c r="C60" s="15"/>
      <c r="E60" s="15"/>
    </row>
    <row r="61">
      <c r="A61" s="15"/>
      <c r="C61" s="15"/>
      <c r="E61" s="15"/>
    </row>
    <row r="62">
      <c r="A62" s="15"/>
      <c r="C62" s="15"/>
      <c r="E62" s="15"/>
    </row>
    <row r="63">
      <c r="A63" s="15"/>
      <c r="C63" s="15"/>
      <c r="E63" s="15"/>
    </row>
    <row r="64">
      <c r="A64" s="15"/>
      <c r="C64" s="15"/>
      <c r="E64" s="15"/>
    </row>
    <row r="65">
      <c r="A65" s="15"/>
      <c r="C65" s="15"/>
      <c r="E65" s="15"/>
    </row>
    <row r="66">
      <c r="A66" s="15"/>
      <c r="C66" s="15"/>
      <c r="E66" s="15"/>
    </row>
    <row r="67">
      <c r="A67" s="15"/>
      <c r="C67" s="15"/>
      <c r="E67" s="15"/>
    </row>
    <row r="68">
      <c r="A68" s="15"/>
      <c r="C68" s="15"/>
      <c r="E68" s="15"/>
    </row>
    <row r="69">
      <c r="A69" s="15"/>
      <c r="C69" s="15"/>
      <c r="E69" s="15"/>
    </row>
    <row r="70">
      <c r="A70" s="15"/>
      <c r="C70" s="15"/>
      <c r="E70" s="15"/>
    </row>
    <row r="71">
      <c r="A71" s="15"/>
      <c r="C71" s="15"/>
      <c r="E71" s="15"/>
    </row>
    <row r="72">
      <c r="A72" s="15"/>
      <c r="C72" s="15"/>
      <c r="E72" s="15"/>
    </row>
    <row r="73">
      <c r="A73" s="15"/>
      <c r="C73" s="15"/>
      <c r="E73" s="15"/>
    </row>
    <row r="74">
      <c r="A74" s="15"/>
      <c r="C74" s="15"/>
      <c r="E74" s="15"/>
    </row>
    <row r="75">
      <c r="A75" s="15"/>
      <c r="C75" s="15"/>
      <c r="E75" s="15"/>
    </row>
    <row r="76">
      <c r="A76" s="15"/>
      <c r="C76" s="15"/>
      <c r="E76" s="15"/>
    </row>
    <row r="77">
      <c r="A77" s="15"/>
      <c r="C77" s="15"/>
      <c r="E77" s="15"/>
    </row>
    <row r="78">
      <c r="A78" s="15"/>
      <c r="C78" s="15"/>
      <c r="E78" s="15"/>
    </row>
    <row r="79">
      <c r="A79" s="15"/>
      <c r="C79" s="15"/>
      <c r="E79" s="15"/>
    </row>
    <row r="80">
      <c r="A80" s="15"/>
      <c r="C80" s="15"/>
      <c r="E80" s="15"/>
    </row>
    <row r="81">
      <c r="A81" s="15"/>
      <c r="C81" s="15"/>
      <c r="E81" s="15"/>
    </row>
    <row r="82">
      <c r="A82" s="15"/>
      <c r="C82" s="15"/>
      <c r="E82" s="15"/>
    </row>
    <row r="83">
      <c r="A83" s="15"/>
      <c r="C83" s="15"/>
      <c r="E83" s="15"/>
    </row>
    <row r="84">
      <c r="A84" s="15"/>
      <c r="C84" s="15"/>
      <c r="E84" s="15"/>
    </row>
    <row r="85">
      <c r="A85" s="15"/>
      <c r="C85" s="15"/>
      <c r="E85" s="15"/>
    </row>
    <row r="86">
      <c r="A86" s="15"/>
      <c r="C86" s="15"/>
      <c r="E86" s="15"/>
    </row>
    <row r="87">
      <c r="A87" s="15"/>
      <c r="C87" s="15"/>
      <c r="E87" s="15"/>
    </row>
    <row r="88">
      <c r="A88" s="15"/>
      <c r="C88" s="15"/>
      <c r="E88" s="15"/>
    </row>
    <row r="89">
      <c r="A89" s="15"/>
      <c r="C89" s="15"/>
      <c r="E89" s="15"/>
    </row>
    <row r="90">
      <c r="A90" s="15"/>
      <c r="C90" s="15"/>
      <c r="E90" s="15"/>
    </row>
    <row r="91">
      <c r="A91" s="15"/>
      <c r="C91" s="15"/>
      <c r="E91" s="15"/>
    </row>
    <row r="92">
      <c r="A92" s="15"/>
      <c r="C92" s="15"/>
      <c r="E92" s="15"/>
    </row>
    <row r="93">
      <c r="A93" s="15"/>
      <c r="C93" s="15"/>
      <c r="E93" s="15"/>
    </row>
    <row r="94">
      <c r="A94" s="15"/>
      <c r="C94" s="15"/>
      <c r="E94" s="15"/>
    </row>
    <row r="95">
      <c r="A95" s="15"/>
      <c r="C95" s="15"/>
      <c r="E95" s="15"/>
    </row>
    <row r="96">
      <c r="A96" s="15"/>
      <c r="C96" s="15"/>
      <c r="E96" s="15"/>
    </row>
    <row r="97">
      <c r="A97" s="15"/>
      <c r="C97" s="15"/>
      <c r="E97" s="15"/>
    </row>
    <row r="98">
      <c r="A98" s="15"/>
      <c r="C98" s="15"/>
      <c r="E98" s="15"/>
    </row>
    <row r="99">
      <c r="A99" s="15"/>
      <c r="C99" s="15"/>
      <c r="E99" s="15"/>
    </row>
    <row r="100">
      <c r="A100" s="15"/>
      <c r="C100" s="15"/>
      <c r="E100" s="15"/>
    </row>
    <row r="101">
      <c r="A101" s="15"/>
      <c r="C101" s="15"/>
      <c r="E101" s="15"/>
    </row>
    <row r="102">
      <c r="A102" s="15"/>
      <c r="C102" s="15"/>
      <c r="E102" s="15"/>
    </row>
    <row r="103">
      <c r="A103" s="15"/>
      <c r="C103" s="15"/>
      <c r="E103" s="15"/>
    </row>
    <row r="104">
      <c r="A104" s="15"/>
      <c r="C104" s="15"/>
      <c r="E104" s="15"/>
    </row>
    <row r="105">
      <c r="A105" s="15"/>
      <c r="C105" s="15"/>
      <c r="E105" s="15"/>
    </row>
    <row r="106">
      <c r="A106" s="15"/>
      <c r="C106" s="15"/>
      <c r="E106" s="15"/>
    </row>
    <row r="107">
      <c r="A107" s="15"/>
      <c r="C107" s="15"/>
      <c r="E107" s="15"/>
    </row>
    <row r="108">
      <c r="A108" s="15"/>
      <c r="C108" s="15"/>
      <c r="E108" s="15"/>
    </row>
    <row r="109">
      <c r="A109" s="15"/>
      <c r="C109" s="15"/>
      <c r="E109" s="15"/>
    </row>
    <row r="110">
      <c r="A110" s="15"/>
      <c r="C110" s="15"/>
      <c r="E110" s="15"/>
    </row>
    <row r="111">
      <c r="A111" s="15"/>
      <c r="C111" s="15"/>
      <c r="E111" s="15"/>
    </row>
    <row r="112">
      <c r="A112" s="15"/>
      <c r="C112" s="15"/>
      <c r="E112" s="15"/>
    </row>
    <row r="113">
      <c r="A113" s="15"/>
      <c r="C113" s="15"/>
      <c r="E113" s="15"/>
    </row>
    <row r="114">
      <c r="A114" s="15"/>
      <c r="C114" s="15"/>
      <c r="E114" s="15"/>
    </row>
    <row r="115">
      <c r="A115" s="15"/>
      <c r="C115" s="15"/>
      <c r="E115" s="15"/>
    </row>
    <row r="116">
      <c r="A116" s="15"/>
      <c r="C116" s="15"/>
      <c r="E116" s="15"/>
    </row>
    <row r="117">
      <c r="A117" s="15"/>
      <c r="C117" s="15"/>
      <c r="E117" s="15"/>
    </row>
    <row r="118">
      <c r="A118" s="15"/>
      <c r="C118" s="15"/>
      <c r="E118" s="15"/>
    </row>
    <row r="119">
      <c r="A119" s="15"/>
      <c r="C119" s="15"/>
      <c r="E119" s="15"/>
    </row>
    <row r="120">
      <c r="A120" s="15"/>
      <c r="C120" s="15"/>
      <c r="E120" s="15"/>
    </row>
    <row r="121">
      <c r="A121" s="15"/>
      <c r="C121" s="15"/>
      <c r="E121" s="15"/>
    </row>
    <row r="122">
      <c r="A122" s="15"/>
      <c r="C122" s="15"/>
      <c r="E122" s="15"/>
    </row>
    <row r="123">
      <c r="A123" s="15"/>
      <c r="C123" s="15"/>
      <c r="E123" s="15"/>
    </row>
    <row r="124">
      <c r="A124" s="15"/>
      <c r="C124" s="15"/>
      <c r="E124" s="15"/>
    </row>
    <row r="125">
      <c r="A125" s="15"/>
      <c r="C125" s="15"/>
      <c r="E125" s="15"/>
    </row>
    <row r="126">
      <c r="A126" s="15"/>
      <c r="C126" s="15"/>
      <c r="E126" s="15"/>
    </row>
    <row r="127">
      <c r="A127" s="15"/>
      <c r="C127" s="15"/>
      <c r="E127" s="15"/>
    </row>
    <row r="128">
      <c r="A128" s="15"/>
      <c r="C128" s="15"/>
      <c r="E128" s="15"/>
    </row>
    <row r="129">
      <c r="A129" s="15"/>
      <c r="C129" s="15"/>
      <c r="E129" s="15"/>
    </row>
    <row r="130">
      <c r="A130" s="15"/>
      <c r="C130" s="15"/>
      <c r="E130" s="15"/>
    </row>
    <row r="131">
      <c r="A131" s="15"/>
      <c r="C131" s="15"/>
      <c r="E131" s="15"/>
    </row>
    <row r="132">
      <c r="A132" s="15"/>
      <c r="C132" s="15"/>
      <c r="E132" s="15"/>
    </row>
    <row r="133">
      <c r="A133" s="15"/>
      <c r="C133" s="15"/>
      <c r="E133" s="15"/>
    </row>
    <row r="134">
      <c r="A134" s="15"/>
      <c r="C134" s="15"/>
      <c r="E134" s="15"/>
    </row>
    <row r="135">
      <c r="A135" s="15"/>
      <c r="C135" s="15"/>
      <c r="E135" s="15"/>
    </row>
    <row r="136">
      <c r="A136" s="15"/>
      <c r="C136" s="15"/>
      <c r="E136" s="15"/>
    </row>
    <row r="137">
      <c r="A137" s="15"/>
      <c r="C137" s="15"/>
      <c r="E137" s="15"/>
    </row>
    <row r="138">
      <c r="A138" s="15"/>
      <c r="C138" s="15"/>
      <c r="E138" s="15"/>
    </row>
    <row r="139">
      <c r="A139" s="15"/>
      <c r="C139" s="15"/>
      <c r="E139" s="15"/>
    </row>
    <row r="140">
      <c r="A140" s="15"/>
      <c r="C140" s="15"/>
      <c r="E140" s="15"/>
    </row>
    <row r="141">
      <c r="A141" s="15"/>
      <c r="C141" s="15"/>
      <c r="E141" s="15"/>
    </row>
    <row r="142">
      <c r="A142" s="15"/>
      <c r="C142" s="15"/>
      <c r="E142" s="15"/>
    </row>
    <row r="143">
      <c r="A143" s="15"/>
      <c r="C143" s="15"/>
      <c r="E143" s="15"/>
    </row>
    <row r="144">
      <c r="A144" s="15"/>
      <c r="C144" s="15"/>
      <c r="E144" s="15"/>
    </row>
    <row r="145">
      <c r="A145" s="15"/>
      <c r="C145" s="15"/>
      <c r="E145" s="15"/>
    </row>
    <row r="146">
      <c r="A146" s="15"/>
      <c r="C146" s="15"/>
      <c r="E146" s="15"/>
    </row>
    <row r="147">
      <c r="A147" s="15"/>
      <c r="C147" s="15"/>
      <c r="E147" s="15"/>
    </row>
    <row r="148">
      <c r="A148" s="15"/>
      <c r="C148" s="15"/>
      <c r="E148" s="15"/>
    </row>
    <row r="149">
      <c r="A149" s="15"/>
      <c r="C149" s="15"/>
      <c r="E149" s="15"/>
    </row>
    <row r="150">
      <c r="A150" s="15"/>
      <c r="C150" s="15"/>
      <c r="E150" s="15"/>
    </row>
    <row r="151">
      <c r="A151" s="15"/>
      <c r="C151" s="15"/>
      <c r="E151" s="15"/>
    </row>
    <row r="152">
      <c r="A152" s="15"/>
      <c r="C152" s="15"/>
      <c r="E152" s="15"/>
    </row>
    <row r="153">
      <c r="A153" s="15"/>
      <c r="C153" s="15"/>
      <c r="E153" s="15"/>
    </row>
    <row r="154">
      <c r="A154" s="15"/>
      <c r="C154" s="15"/>
      <c r="E154" s="15"/>
    </row>
    <row r="155">
      <c r="A155" s="15"/>
      <c r="C155" s="15"/>
      <c r="E155" s="15"/>
    </row>
    <row r="156">
      <c r="A156" s="15"/>
      <c r="C156" s="15"/>
      <c r="E156" s="15"/>
    </row>
    <row r="157">
      <c r="A157" s="15"/>
      <c r="C157" s="15"/>
      <c r="E157" s="15"/>
    </row>
    <row r="158">
      <c r="A158" s="15"/>
      <c r="C158" s="15"/>
      <c r="E158" s="15"/>
    </row>
    <row r="159">
      <c r="A159" s="15"/>
      <c r="C159" s="15"/>
      <c r="E159" s="15"/>
    </row>
    <row r="160">
      <c r="A160" s="15"/>
      <c r="C160" s="15"/>
      <c r="E160" s="15"/>
    </row>
    <row r="161">
      <c r="A161" s="15"/>
      <c r="C161" s="15"/>
      <c r="E161" s="15"/>
    </row>
    <row r="162">
      <c r="A162" s="15"/>
      <c r="C162" s="15"/>
      <c r="E162" s="15"/>
    </row>
    <row r="163">
      <c r="A163" s="15"/>
      <c r="C163" s="15"/>
      <c r="E163" s="15"/>
    </row>
    <row r="164">
      <c r="A164" s="15"/>
      <c r="C164" s="15"/>
      <c r="E164" s="15"/>
    </row>
    <row r="165">
      <c r="A165" s="15"/>
      <c r="C165" s="15"/>
      <c r="E165" s="15"/>
    </row>
    <row r="166">
      <c r="A166" s="15"/>
      <c r="C166" s="15"/>
      <c r="E166" s="15"/>
    </row>
    <row r="167">
      <c r="A167" s="15"/>
      <c r="C167" s="15"/>
      <c r="E167" s="15"/>
    </row>
    <row r="168">
      <c r="A168" s="15"/>
      <c r="C168" s="15"/>
      <c r="E168" s="15"/>
    </row>
    <row r="169">
      <c r="A169" s="15"/>
      <c r="C169" s="15"/>
      <c r="E169" s="15"/>
    </row>
    <row r="170">
      <c r="A170" s="15"/>
      <c r="C170" s="15"/>
      <c r="E170" s="15"/>
    </row>
    <row r="171">
      <c r="A171" s="15"/>
      <c r="C171" s="15"/>
      <c r="E171" s="15"/>
    </row>
    <row r="172">
      <c r="A172" s="15"/>
      <c r="C172" s="15"/>
      <c r="E172" s="15"/>
    </row>
    <row r="173">
      <c r="A173" s="15"/>
      <c r="C173" s="15"/>
      <c r="E173" s="15"/>
    </row>
    <row r="174">
      <c r="A174" s="15"/>
      <c r="C174" s="15"/>
      <c r="E174" s="15"/>
    </row>
    <row r="175">
      <c r="A175" s="15"/>
      <c r="C175" s="15"/>
      <c r="E175" s="15"/>
    </row>
    <row r="176">
      <c r="A176" s="15"/>
      <c r="C176" s="15"/>
      <c r="E176" s="15"/>
    </row>
    <row r="177">
      <c r="A177" s="15"/>
      <c r="C177" s="15"/>
      <c r="E177" s="15"/>
    </row>
    <row r="178">
      <c r="A178" s="15"/>
      <c r="C178" s="15"/>
      <c r="E178" s="15"/>
    </row>
    <row r="179">
      <c r="A179" s="15"/>
      <c r="C179" s="15"/>
      <c r="E179" s="15"/>
    </row>
    <row r="180">
      <c r="A180" s="15"/>
      <c r="C180" s="15"/>
      <c r="E180" s="15"/>
    </row>
    <row r="181">
      <c r="A181" s="15"/>
      <c r="C181" s="15"/>
      <c r="E181" s="15"/>
    </row>
    <row r="182">
      <c r="A182" s="15"/>
      <c r="C182" s="15"/>
      <c r="E182" s="15"/>
    </row>
    <row r="183">
      <c r="A183" s="15"/>
      <c r="C183" s="15"/>
      <c r="E183" s="15"/>
    </row>
    <row r="184">
      <c r="A184" s="15"/>
      <c r="C184" s="15"/>
      <c r="E184" s="15"/>
    </row>
    <row r="185">
      <c r="A185" s="15"/>
      <c r="C185" s="15"/>
      <c r="E185" s="15"/>
    </row>
    <row r="186">
      <c r="A186" s="15"/>
      <c r="C186" s="15"/>
      <c r="E186" s="15"/>
    </row>
    <row r="187">
      <c r="A187" s="15"/>
      <c r="C187" s="15"/>
      <c r="E187" s="15"/>
    </row>
    <row r="188">
      <c r="A188" s="15"/>
      <c r="C188" s="15"/>
      <c r="E188" s="15"/>
    </row>
    <row r="189">
      <c r="A189" s="15"/>
      <c r="C189" s="15"/>
      <c r="E189" s="15"/>
    </row>
    <row r="190">
      <c r="A190" s="15"/>
      <c r="C190" s="15"/>
      <c r="E190" s="15"/>
    </row>
    <row r="191">
      <c r="A191" s="15"/>
      <c r="C191" s="15"/>
      <c r="E191" s="15"/>
    </row>
    <row r="192">
      <c r="A192" s="15"/>
      <c r="C192" s="15"/>
      <c r="E192" s="15"/>
    </row>
    <row r="193">
      <c r="A193" s="15"/>
      <c r="C193" s="15"/>
      <c r="E193" s="15"/>
    </row>
    <row r="194">
      <c r="A194" s="15"/>
      <c r="C194" s="15"/>
      <c r="E194" s="15"/>
    </row>
    <row r="195">
      <c r="A195" s="15"/>
      <c r="C195" s="15"/>
      <c r="E195" s="15"/>
    </row>
    <row r="196">
      <c r="A196" s="15"/>
      <c r="C196" s="15"/>
      <c r="E196" s="15"/>
    </row>
    <row r="197">
      <c r="A197" s="15"/>
      <c r="C197" s="15"/>
      <c r="E197" s="15"/>
    </row>
    <row r="198">
      <c r="A198" s="15"/>
      <c r="C198" s="15"/>
      <c r="E198" s="15"/>
    </row>
    <row r="199">
      <c r="A199" s="15"/>
      <c r="C199" s="15"/>
      <c r="E199" s="15"/>
    </row>
    <row r="200">
      <c r="A200" s="15"/>
      <c r="C200" s="15"/>
      <c r="E200" s="15"/>
    </row>
    <row r="201">
      <c r="A201" s="15"/>
      <c r="C201" s="15"/>
      <c r="E201" s="15"/>
    </row>
    <row r="202">
      <c r="A202" s="15"/>
      <c r="C202" s="15"/>
      <c r="E202" s="15"/>
    </row>
    <row r="203">
      <c r="A203" s="15"/>
      <c r="C203" s="15"/>
      <c r="E203" s="15"/>
    </row>
    <row r="204">
      <c r="A204" s="15"/>
      <c r="C204" s="15"/>
      <c r="E204" s="15"/>
    </row>
    <row r="205">
      <c r="A205" s="15"/>
      <c r="C205" s="15"/>
      <c r="E205" s="15"/>
    </row>
    <row r="206">
      <c r="A206" s="15"/>
      <c r="C206" s="15"/>
      <c r="E206" s="15"/>
    </row>
    <row r="207">
      <c r="A207" s="15"/>
      <c r="C207" s="15"/>
      <c r="E207" s="15"/>
    </row>
    <row r="208">
      <c r="A208" s="15"/>
      <c r="C208" s="15"/>
      <c r="E208" s="15"/>
    </row>
    <row r="209">
      <c r="A209" s="15"/>
      <c r="C209" s="15"/>
      <c r="E209" s="15"/>
    </row>
    <row r="210">
      <c r="A210" s="15"/>
      <c r="C210" s="15"/>
      <c r="E210" s="15"/>
    </row>
    <row r="211">
      <c r="A211" s="15"/>
      <c r="C211" s="15"/>
      <c r="E211" s="15"/>
    </row>
    <row r="212">
      <c r="A212" s="15"/>
      <c r="C212" s="15"/>
      <c r="E212" s="15"/>
    </row>
    <row r="213">
      <c r="A213" s="15"/>
      <c r="C213" s="15"/>
      <c r="E213" s="15"/>
    </row>
    <row r="214">
      <c r="A214" s="15"/>
      <c r="C214" s="15"/>
      <c r="E214" s="15"/>
    </row>
    <row r="215">
      <c r="A215" s="15"/>
      <c r="C215" s="15"/>
      <c r="E215" s="15"/>
    </row>
    <row r="216">
      <c r="A216" s="15"/>
      <c r="C216" s="15"/>
      <c r="E216" s="15"/>
    </row>
    <row r="217">
      <c r="A217" s="15"/>
      <c r="C217" s="15"/>
      <c r="E217" s="15"/>
    </row>
    <row r="218">
      <c r="A218" s="15"/>
      <c r="C218" s="15"/>
      <c r="E218" s="15"/>
    </row>
    <row r="219">
      <c r="A219" s="15"/>
      <c r="C219" s="15"/>
      <c r="E219" s="15"/>
    </row>
    <row r="220">
      <c r="A220" s="15"/>
      <c r="C220" s="15"/>
      <c r="E220" s="15"/>
    </row>
    <row r="221">
      <c r="A221" s="15"/>
      <c r="C221" s="15"/>
      <c r="E221" s="15"/>
    </row>
    <row r="222">
      <c r="A222" s="15"/>
      <c r="C222" s="15"/>
      <c r="E222" s="15"/>
    </row>
    <row r="223">
      <c r="A223" s="15"/>
      <c r="C223" s="15"/>
      <c r="E223" s="15"/>
    </row>
    <row r="224">
      <c r="A224" s="15"/>
      <c r="C224" s="15"/>
      <c r="E224" s="15"/>
    </row>
    <row r="225">
      <c r="A225" s="15"/>
      <c r="C225" s="15"/>
      <c r="E225" s="15"/>
    </row>
    <row r="226">
      <c r="A226" s="15"/>
      <c r="C226" s="15"/>
      <c r="E226" s="15"/>
    </row>
    <row r="227">
      <c r="A227" s="15"/>
      <c r="C227" s="15"/>
      <c r="E227" s="15"/>
    </row>
    <row r="228">
      <c r="A228" s="15"/>
      <c r="C228" s="15"/>
      <c r="E228" s="15"/>
    </row>
    <row r="229">
      <c r="A229" s="15"/>
      <c r="C229" s="15"/>
      <c r="E229" s="15"/>
    </row>
    <row r="230">
      <c r="A230" s="15"/>
      <c r="C230" s="15"/>
      <c r="E230" s="15"/>
    </row>
    <row r="231">
      <c r="A231" s="15"/>
      <c r="C231" s="15"/>
      <c r="E231" s="15"/>
    </row>
    <row r="232">
      <c r="A232" s="15"/>
      <c r="C232" s="15"/>
      <c r="E232" s="15"/>
    </row>
    <row r="233">
      <c r="A233" s="15"/>
      <c r="C233" s="15"/>
      <c r="E233" s="15"/>
    </row>
    <row r="234">
      <c r="A234" s="15"/>
      <c r="C234" s="15"/>
      <c r="E234" s="15"/>
    </row>
    <row r="235">
      <c r="A235" s="15"/>
      <c r="C235" s="15"/>
      <c r="E235" s="15"/>
    </row>
    <row r="236">
      <c r="A236" s="15"/>
      <c r="C236" s="15"/>
      <c r="E236" s="15"/>
    </row>
    <row r="237">
      <c r="A237" s="15"/>
      <c r="C237" s="15"/>
      <c r="E237" s="15"/>
    </row>
    <row r="238">
      <c r="A238" s="15"/>
      <c r="C238" s="15"/>
      <c r="E238" s="15"/>
    </row>
    <row r="239">
      <c r="A239" s="15"/>
      <c r="C239" s="15"/>
      <c r="E239" s="15"/>
    </row>
    <row r="240">
      <c r="A240" s="15"/>
      <c r="C240" s="15"/>
      <c r="E240" s="15"/>
    </row>
    <row r="241">
      <c r="A241" s="15"/>
      <c r="C241" s="15"/>
      <c r="E241" s="15"/>
    </row>
    <row r="242">
      <c r="A242" s="15"/>
      <c r="C242" s="15"/>
      <c r="E242" s="15"/>
    </row>
    <row r="243">
      <c r="A243" s="15"/>
      <c r="C243" s="15"/>
      <c r="E243" s="15"/>
    </row>
    <row r="244">
      <c r="A244" s="15"/>
      <c r="C244" s="15"/>
      <c r="E244" s="15"/>
    </row>
    <row r="245">
      <c r="A245" s="15"/>
      <c r="C245" s="15"/>
      <c r="E245" s="15"/>
    </row>
    <row r="246">
      <c r="A246" s="15"/>
      <c r="C246" s="15"/>
      <c r="E246" s="15"/>
    </row>
    <row r="247">
      <c r="A247" s="15"/>
      <c r="C247" s="15"/>
      <c r="E247" s="15"/>
    </row>
    <row r="248">
      <c r="A248" s="15"/>
      <c r="C248" s="15"/>
      <c r="E248" s="15"/>
    </row>
    <row r="249">
      <c r="A249" s="15"/>
      <c r="C249" s="15"/>
      <c r="E249" s="15"/>
    </row>
    <row r="250">
      <c r="A250" s="15"/>
      <c r="C250" s="15"/>
      <c r="E250" s="15"/>
    </row>
    <row r="251">
      <c r="A251" s="15"/>
      <c r="C251" s="15"/>
      <c r="E251" s="15"/>
    </row>
    <row r="252">
      <c r="A252" s="15"/>
      <c r="C252" s="15"/>
      <c r="E252" s="15"/>
    </row>
    <row r="253">
      <c r="A253" s="15"/>
      <c r="C253" s="15"/>
      <c r="E253" s="15"/>
    </row>
    <row r="254">
      <c r="A254" s="15"/>
      <c r="C254" s="15"/>
      <c r="E254" s="15"/>
    </row>
    <row r="255">
      <c r="A255" s="15"/>
      <c r="C255" s="15"/>
      <c r="E255" s="15"/>
    </row>
    <row r="256">
      <c r="A256" s="15"/>
      <c r="C256" s="15"/>
      <c r="E256" s="15"/>
    </row>
    <row r="257">
      <c r="A257" s="15"/>
      <c r="C257" s="15"/>
      <c r="E257" s="15"/>
    </row>
    <row r="258">
      <c r="A258" s="15"/>
      <c r="C258" s="15"/>
      <c r="E258" s="15"/>
    </row>
    <row r="259">
      <c r="A259" s="15"/>
      <c r="C259" s="15"/>
      <c r="E259" s="15"/>
    </row>
    <row r="260">
      <c r="A260" s="15"/>
      <c r="C260" s="15"/>
      <c r="E260" s="15"/>
    </row>
    <row r="261">
      <c r="A261" s="15"/>
      <c r="C261" s="15"/>
      <c r="E261" s="15"/>
    </row>
    <row r="262">
      <c r="A262" s="15"/>
      <c r="C262" s="15"/>
      <c r="E262" s="15"/>
    </row>
    <row r="263">
      <c r="A263" s="15"/>
      <c r="C263" s="15"/>
      <c r="E263" s="15"/>
    </row>
    <row r="264">
      <c r="A264" s="15"/>
      <c r="C264" s="15"/>
      <c r="E264" s="15"/>
    </row>
    <row r="265">
      <c r="A265" s="15"/>
      <c r="C265" s="15"/>
      <c r="E265" s="15"/>
    </row>
    <row r="266">
      <c r="A266" s="15"/>
      <c r="C266" s="15"/>
      <c r="E266" s="15"/>
    </row>
    <row r="267">
      <c r="A267" s="15"/>
      <c r="C267" s="15"/>
      <c r="E267" s="15"/>
    </row>
    <row r="268">
      <c r="A268" s="15"/>
      <c r="C268" s="15"/>
      <c r="E268" s="15"/>
    </row>
    <row r="269">
      <c r="A269" s="15"/>
      <c r="C269" s="15"/>
      <c r="E269" s="15"/>
    </row>
    <row r="270">
      <c r="A270" s="15"/>
      <c r="C270" s="15"/>
      <c r="E270" s="15"/>
    </row>
    <row r="271">
      <c r="A271" s="15"/>
      <c r="C271" s="15"/>
      <c r="E271" s="15"/>
    </row>
    <row r="272">
      <c r="A272" s="15"/>
      <c r="C272" s="15"/>
      <c r="E272" s="15"/>
    </row>
    <row r="273">
      <c r="A273" s="15"/>
      <c r="C273" s="15"/>
      <c r="E273" s="15"/>
    </row>
    <row r="274">
      <c r="A274" s="15"/>
      <c r="C274" s="15"/>
      <c r="E274" s="15"/>
    </row>
    <row r="275">
      <c r="A275" s="15"/>
      <c r="C275" s="15"/>
      <c r="E275" s="15"/>
    </row>
    <row r="276">
      <c r="A276" s="15"/>
      <c r="C276" s="15"/>
      <c r="E276" s="15"/>
    </row>
    <row r="277">
      <c r="A277" s="15"/>
      <c r="C277" s="15"/>
      <c r="E277" s="15"/>
    </row>
    <row r="278">
      <c r="A278" s="15"/>
      <c r="C278" s="15"/>
      <c r="E278" s="15"/>
    </row>
    <row r="279">
      <c r="A279" s="15"/>
      <c r="C279" s="15"/>
      <c r="E279" s="15"/>
    </row>
    <row r="280">
      <c r="A280" s="15"/>
      <c r="C280" s="15"/>
      <c r="E280" s="15"/>
    </row>
    <row r="281">
      <c r="A281" s="15"/>
      <c r="C281" s="15"/>
      <c r="E281" s="15"/>
    </row>
    <row r="282">
      <c r="A282" s="15"/>
      <c r="C282" s="15"/>
      <c r="E282" s="15"/>
    </row>
    <row r="283">
      <c r="A283" s="15"/>
      <c r="C283" s="15"/>
      <c r="E283" s="15"/>
    </row>
    <row r="284">
      <c r="A284" s="15"/>
      <c r="C284" s="15"/>
      <c r="E284" s="15"/>
    </row>
    <row r="285">
      <c r="A285" s="15"/>
      <c r="C285" s="15"/>
      <c r="E285" s="15"/>
    </row>
    <row r="286">
      <c r="A286" s="15"/>
      <c r="C286" s="15"/>
      <c r="E286" s="15"/>
    </row>
    <row r="287">
      <c r="A287" s="15"/>
      <c r="C287" s="15"/>
      <c r="E287" s="15"/>
    </row>
    <row r="288">
      <c r="A288" s="15"/>
      <c r="C288" s="15"/>
      <c r="E288" s="15"/>
    </row>
    <row r="289">
      <c r="A289" s="15"/>
      <c r="C289" s="15"/>
      <c r="E289" s="15"/>
    </row>
    <row r="290">
      <c r="A290" s="15"/>
      <c r="C290" s="15"/>
      <c r="E290" s="15"/>
    </row>
    <row r="291">
      <c r="A291" s="15"/>
      <c r="C291" s="15"/>
      <c r="E291" s="15"/>
    </row>
    <row r="292">
      <c r="A292" s="15"/>
      <c r="C292" s="15"/>
      <c r="E292" s="15"/>
    </row>
    <row r="293">
      <c r="A293" s="15"/>
      <c r="C293" s="15"/>
      <c r="E293" s="15"/>
    </row>
    <row r="294">
      <c r="A294" s="15"/>
      <c r="C294" s="15"/>
      <c r="E294" s="15"/>
    </row>
    <row r="295">
      <c r="A295" s="15"/>
      <c r="C295" s="15"/>
      <c r="E295" s="15"/>
    </row>
    <row r="296">
      <c r="A296" s="15"/>
      <c r="C296" s="15"/>
      <c r="E296" s="15"/>
    </row>
    <row r="297">
      <c r="A297" s="15"/>
      <c r="C297" s="15"/>
      <c r="E297" s="15"/>
    </row>
    <row r="298">
      <c r="A298" s="15"/>
      <c r="C298" s="15"/>
      <c r="E298" s="15"/>
    </row>
    <row r="299">
      <c r="A299" s="15"/>
      <c r="C299" s="15"/>
      <c r="E299" s="15"/>
    </row>
    <row r="300">
      <c r="A300" s="15"/>
      <c r="C300" s="15"/>
      <c r="E300" s="15"/>
    </row>
    <row r="301">
      <c r="A301" s="15"/>
      <c r="C301" s="15"/>
      <c r="E301" s="15"/>
    </row>
    <row r="302">
      <c r="A302" s="15"/>
      <c r="C302" s="15"/>
      <c r="E302" s="15"/>
    </row>
    <row r="303">
      <c r="A303" s="15"/>
      <c r="C303" s="15"/>
      <c r="E303" s="15"/>
    </row>
    <row r="304">
      <c r="A304" s="15"/>
      <c r="C304" s="15"/>
      <c r="E304" s="15"/>
    </row>
    <row r="305">
      <c r="A305" s="15"/>
      <c r="C305" s="15"/>
      <c r="E305" s="15"/>
    </row>
    <row r="306">
      <c r="A306" s="15"/>
      <c r="C306" s="15"/>
      <c r="E306" s="15"/>
    </row>
    <row r="307">
      <c r="A307" s="15"/>
      <c r="C307" s="15"/>
      <c r="E307" s="15"/>
    </row>
    <row r="308">
      <c r="A308" s="15"/>
      <c r="C308" s="15"/>
      <c r="E308" s="15"/>
    </row>
    <row r="309">
      <c r="A309" s="15"/>
      <c r="C309" s="15"/>
      <c r="E309" s="15"/>
    </row>
    <row r="310">
      <c r="A310" s="15"/>
      <c r="C310" s="15"/>
      <c r="E310" s="15"/>
    </row>
    <row r="311">
      <c r="A311" s="15"/>
      <c r="C311" s="15"/>
      <c r="E311" s="15"/>
    </row>
    <row r="312">
      <c r="A312" s="15"/>
      <c r="C312" s="15"/>
      <c r="E312" s="15"/>
    </row>
    <row r="313">
      <c r="A313" s="15"/>
      <c r="C313" s="15"/>
      <c r="E313" s="15"/>
    </row>
    <row r="314">
      <c r="A314" s="15"/>
      <c r="C314" s="15"/>
      <c r="E314" s="15"/>
    </row>
    <row r="315">
      <c r="A315" s="15"/>
      <c r="C315" s="15"/>
      <c r="E315" s="15"/>
    </row>
    <row r="316">
      <c r="A316" s="15"/>
      <c r="C316" s="15"/>
      <c r="E316" s="15"/>
    </row>
    <row r="317">
      <c r="A317" s="15"/>
      <c r="C317" s="15"/>
      <c r="E317" s="15"/>
    </row>
    <row r="318">
      <c r="A318" s="15"/>
      <c r="C318" s="15"/>
      <c r="E318" s="15"/>
    </row>
    <row r="319">
      <c r="A319" s="15"/>
      <c r="C319" s="15"/>
      <c r="E319" s="15"/>
    </row>
    <row r="320">
      <c r="A320" s="15"/>
      <c r="C320" s="15"/>
      <c r="E320" s="15"/>
    </row>
    <row r="321">
      <c r="A321" s="15"/>
      <c r="C321" s="15"/>
      <c r="E321" s="15"/>
    </row>
    <row r="322">
      <c r="A322" s="15"/>
      <c r="C322" s="15"/>
      <c r="E322" s="15"/>
    </row>
    <row r="323">
      <c r="A323" s="15"/>
      <c r="C323" s="15"/>
      <c r="E323" s="15"/>
    </row>
    <row r="324">
      <c r="A324" s="15"/>
      <c r="C324" s="15"/>
      <c r="E324" s="15"/>
    </row>
    <row r="325">
      <c r="A325" s="15"/>
      <c r="C325" s="15"/>
      <c r="E325" s="15"/>
    </row>
    <row r="326">
      <c r="A326" s="15"/>
      <c r="C326" s="15"/>
      <c r="E326" s="15"/>
    </row>
    <row r="327">
      <c r="A327" s="15"/>
      <c r="C327" s="15"/>
      <c r="E327" s="15"/>
    </row>
    <row r="328">
      <c r="A328" s="15"/>
      <c r="C328" s="15"/>
      <c r="E328" s="15"/>
    </row>
    <row r="329">
      <c r="A329" s="15"/>
      <c r="C329" s="15"/>
      <c r="E329" s="15"/>
    </row>
    <row r="330">
      <c r="A330" s="15"/>
      <c r="C330" s="15"/>
      <c r="E330" s="15"/>
    </row>
    <row r="331">
      <c r="A331" s="15"/>
      <c r="C331" s="15"/>
      <c r="E331" s="15"/>
    </row>
    <row r="332">
      <c r="A332" s="15"/>
      <c r="C332" s="15"/>
      <c r="E332" s="15"/>
    </row>
    <row r="333">
      <c r="A333" s="15"/>
      <c r="C333" s="15"/>
      <c r="E333" s="15"/>
    </row>
    <row r="334">
      <c r="A334" s="15"/>
      <c r="C334" s="15"/>
      <c r="E334" s="15"/>
    </row>
    <row r="335">
      <c r="A335" s="15"/>
      <c r="C335" s="15"/>
      <c r="E335" s="15"/>
    </row>
    <row r="336">
      <c r="A336" s="15"/>
      <c r="C336" s="15"/>
      <c r="E336" s="15"/>
    </row>
    <row r="337">
      <c r="A337" s="15"/>
      <c r="C337" s="15"/>
      <c r="E337" s="15"/>
    </row>
    <row r="338">
      <c r="A338" s="15"/>
      <c r="C338" s="15"/>
      <c r="E338" s="15"/>
    </row>
    <row r="339">
      <c r="A339" s="15"/>
      <c r="C339" s="15"/>
      <c r="E339" s="15"/>
    </row>
    <row r="340">
      <c r="A340" s="15"/>
      <c r="C340" s="15"/>
      <c r="E340" s="15"/>
    </row>
    <row r="341">
      <c r="A341" s="15"/>
      <c r="C341" s="15"/>
      <c r="E341" s="15"/>
    </row>
    <row r="342">
      <c r="A342" s="15"/>
      <c r="C342" s="15"/>
      <c r="E342" s="15"/>
    </row>
    <row r="343">
      <c r="A343" s="15"/>
      <c r="C343" s="15"/>
      <c r="E343" s="15"/>
    </row>
    <row r="344">
      <c r="A344" s="15"/>
      <c r="C344" s="15"/>
      <c r="E344" s="15"/>
    </row>
    <row r="345">
      <c r="A345" s="15"/>
      <c r="C345" s="15"/>
      <c r="E345" s="15"/>
    </row>
    <row r="346">
      <c r="A346" s="15"/>
      <c r="C346" s="15"/>
      <c r="E346" s="15"/>
    </row>
    <row r="347">
      <c r="A347" s="15"/>
      <c r="C347" s="15"/>
      <c r="E347" s="15"/>
    </row>
    <row r="348">
      <c r="A348" s="15"/>
      <c r="C348" s="15"/>
      <c r="E348" s="15"/>
    </row>
    <row r="349">
      <c r="A349" s="15"/>
      <c r="C349" s="15"/>
      <c r="E349" s="15"/>
    </row>
    <row r="350">
      <c r="A350" s="15"/>
      <c r="C350" s="15"/>
      <c r="E350" s="15"/>
    </row>
    <row r="351">
      <c r="A351" s="15"/>
      <c r="C351" s="15"/>
      <c r="E351" s="15"/>
    </row>
    <row r="352">
      <c r="A352" s="15"/>
      <c r="C352" s="15"/>
      <c r="E352" s="15"/>
    </row>
    <row r="353">
      <c r="A353" s="15"/>
      <c r="C353" s="15"/>
      <c r="E353" s="15"/>
    </row>
    <row r="354">
      <c r="A354" s="15"/>
      <c r="C354" s="15"/>
      <c r="E354" s="15"/>
    </row>
    <row r="355">
      <c r="A355" s="15"/>
      <c r="C355" s="15"/>
      <c r="E355" s="15"/>
    </row>
    <row r="356">
      <c r="A356" s="15"/>
      <c r="C356" s="15"/>
      <c r="E356" s="15"/>
    </row>
    <row r="357">
      <c r="A357" s="15"/>
      <c r="C357" s="15"/>
      <c r="E357" s="15"/>
    </row>
    <row r="358">
      <c r="A358" s="15"/>
      <c r="C358" s="15"/>
      <c r="E358" s="15"/>
    </row>
    <row r="359">
      <c r="A359" s="15"/>
      <c r="C359" s="15"/>
      <c r="E359" s="15"/>
    </row>
    <row r="360">
      <c r="A360" s="15"/>
      <c r="C360" s="15"/>
      <c r="E360" s="15"/>
    </row>
    <row r="361">
      <c r="A361" s="15"/>
      <c r="C361" s="15"/>
      <c r="E361" s="15"/>
    </row>
    <row r="362">
      <c r="A362" s="15"/>
      <c r="C362" s="15"/>
      <c r="E362" s="15"/>
    </row>
    <row r="363">
      <c r="A363" s="15"/>
      <c r="C363" s="15"/>
      <c r="E363" s="15"/>
    </row>
    <row r="364">
      <c r="A364" s="15"/>
      <c r="C364" s="15"/>
      <c r="E364" s="15"/>
    </row>
    <row r="365">
      <c r="A365" s="15"/>
      <c r="C365" s="15"/>
      <c r="E365" s="15"/>
    </row>
    <row r="366">
      <c r="A366" s="15"/>
      <c r="C366" s="15"/>
      <c r="E366" s="15"/>
    </row>
    <row r="367">
      <c r="A367" s="15"/>
      <c r="C367" s="15"/>
      <c r="E367" s="15"/>
    </row>
    <row r="368">
      <c r="A368" s="15"/>
      <c r="C368" s="15"/>
      <c r="E368" s="15"/>
    </row>
    <row r="369">
      <c r="A369" s="15"/>
      <c r="C369" s="15"/>
      <c r="E369" s="15"/>
    </row>
    <row r="370">
      <c r="A370" s="15"/>
      <c r="C370" s="15"/>
      <c r="E370" s="15"/>
    </row>
    <row r="371">
      <c r="A371" s="15"/>
      <c r="C371" s="15"/>
      <c r="E371" s="15"/>
    </row>
    <row r="372">
      <c r="A372" s="15"/>
      <c r="C372" s="15"/>
      <c r="E372" s="15"/>
    </row>
    <row r="373">
      <c r="A373" s="15"/>
      <c r="C373" s="15"/>
      <c r="E373" s="15"/>
    </row>
    <row r="374">
      <c r="A374" s="15"/>
      <c r="C374" s="15"/>
      <c r="E374" s="15"/>
    </row>
    <row r="375">
      <c r="A375" s="15"/>
      <c r="C375" s="15"/>
      <c r="E375" s="15"/>
    </row>
    <row r="376">
      <c r="A376" s="15"/>
      <c r="C376" s="15"/>
      <c r="E376" s="15"/>
    </row>
    <row r="377">
      <c r="A377" s="15"/>
      <c r="C377" s="15"/>
      <c r="E377" s="15"/>
    </row>
    <row r="378">
      <c r="A378" s="15"/>
      <c r="C378" s="15"/>
      <c r="E378" s="15"/>
    </row>
    <row r="379">
      <c r="A379" s="15"/>
      <c r="C379" s="15"/>
      <c r="E379" s="15"/>
    </row>
    <row r="380">
      <c r="A380" s="15"/>
      <c r="C380" s="15"/>
      <c r="E380" s="15"/>
    </row>
    <row r="381">
      <c r="A381" s="15"/>
      <c r="C381" s="15"/>
      <c r="E381" s="15"/>
    </row>
    <row r="382">
      <c r="A382" s="15"/>
      <c r="C382" s="15"/>
      <c r="E382" s="15"/>
    </row>
    <row r="383">
      <c r="A383" s="15"/>
      <c r="C383" s="15"/>
      <c r="E383" s="15"/>
    </row>
    <row r="384">
      <c r="A384" s="15"/>
      <c r="C384" s="15"/>
      <c r="E384" s="15"/>
    </row>
    <row r="385">
      <c r="A385" s="15"/>
      <c r="C385" s="15"/>
      <c r="E385" s="15"/>
    </row>
    <row r="386">
      <c r="A386" s="15"/>
      <c r="C386" s="15"/>
      <c r="E386" s="15"/>
    </row>
    <row r="387">
      <c r="A387" s="15"/>
      <c r="C387" s="15"/>
      <c r="E387" s="15"/>
    </row>
    <row r="388">
      <c r="A388" s="15"/>
      <c r="C388" s="15"/>
      <c r="E388" s="15"/>
    </row>
    <row r="389">
      <c r="A389" s="15"/>
      <c r="C389" s="15"/>
      <c r="E389" s="15"/>
    </row>
    <row r="390">
      <c r="A390" s="15"/>
      <c r="C390" s="15"/>
      <c r="E390" s="15"/>
    </row>
    <row r="391">
      <c r="A391" s="15"/>
      <c r="C391" s="15"/>
      <c r="E391" s="15"/>
    </row>
    <row r="392">
      <c r="A392" s="15"/>
      <c r="C392" s="15"/>
      <c r="E392" s="15"/>
    </row>
    <row r="393">
      <c r="A393" s="15"/>
      <c r="C393" s="15"/>
      <c r="E393" s="15"/>
    </row>
    <row r="394">
      <c r="A394" s="15"/>
      <c r="C394" s="15"/>
      <c r="E394" s="15"/>
    </row>
    <row r="395">
      <c r="A395" s="15"/>
      <c r="C395" s="15"/>
      <c r="E395" s="15"/>
    </row>
    <row r="396">
      <c r="A396" s="15"/>
      <c r="C396" s="15"/>
      <c r="E396" s="15"/>
    </row>
    <row r="397">
      <c r="A397" s="15"/>
      <c r="C397" s="15"/>
      <c r="E397" s="15"/>
    </row>
    <row r="398">
      <c r="A398" s="15"/>
      <c r="C398" s="15"/>
      <c r="E398" s="15"/>
    </row>
    <row r="399">
      <c r="A399" s="15"/>
      <c r="C399" s="15"/>
      <c r="E399" s="15"/>
    </row>
    <row r="400">
      <c r="A400" s="15"/>
      <c r="C400" s="15"/>
      <c r="E400" s="15"/>
    </row>
    <row r="401">
      <c r="A401" s="15"/>
      <c r="C401" s="15"/>
      <c r="E401" s="15"/>
    </row>
    <row r="402">
      <c r="A402" s="15"/>
      <c r="C402" s="15"/>
      <c r="E402" s="15"/>
    </row>
    <row r="403">
      <c r="A403" s="15"/>
      <c r="C403" s="15"/>
      <c r="E403" s="15"/>
    </row>
    <row r="404">
      <c r="A404" s="15"/>
      <c r="C404" s="15"/>
      <c r="E404" s="15"/>
    </row>
    <row r="405">
      <c r="A405" s="15"/>
      <c r="C405" s="15"/>
      <c r="E405" s="15"/>
    </row>
    <row r="406">
      <c r="A406" s="15"/>
      <c r="C406" s="15"/>
      <c r="E406" s="15"/>
    </row>
    <row r="407">
      <c r="A407" s="15"/>
      <c r="C407" s="15"/>
      <c r="E407" s="15"/>
    </row>
    <row r="408">
      <c r="A408" s="15"/>
      <c r="C408" s="15"/>
      <c r="E408" s="15"/>
    </row>
    <row r="409">
      <c r="A409" s="15"/>
      <c r="C409" s="15"/>
      <c r="E409" s="15"/>
    </row>
    <row r="410">
      <c r="A410" s="15"/>
      <c r="C410" s="15"/>
      <c r="E410" s="15"/>
    </row>
    <row r="411">
      <c r="A411" s="15"/>
      <c r="C411" s="15"/>
      <c r="E411" s="15"/>
    </row>
    <row r="412">
      <c r="A412" s="15"/>
      <c r="C412" s="15"/>
      <c r="E412" s="15"/>
    </row>
    <row r="413">
      <c r="A413" s="15"/>
      <c r="C413" s="15"/>
      <c r="E413" s="15"/>
    </row>
    <row r="414">
      <c r="A414" s="15"/>
      <c r="C414" s="15"/>
      <c r="E414" s="15"/>
    </row>
    <row r="415">
      <c r="A415" s="15"/>
      <c r="C415" s="15"/>
      <c r="E415" s="15"/>
    </row>
    <row r="416">
      <c r="A416" s="15"/>
      <c r="C416" s="15"/>
      <c r="E416" s="15"/>
    </row>
    <row r="417">
      <c r="A417" s="15"/>
      <c r="C417" s="15"/>
      <c r="E417" s="15"/>
    </row>
    <row r="418">
      <c r="A418" s="15"/>
      <c r="C418" s="15"/>
      <c r="E418" s="15"/>
    </row>
    <row r="419">
      <c r="A419" s="15"/>
      <c r="C419" s="15"/>
      <c r="E419" s="15"/>
    </row>
    <row r="420">
      <c r="A420" s="15"/>
      <c r="C420" s="15"/>
      <c r="E420" s="15"/>
    </row>
    <row r="421">
      <c r="A421" s="15"/>
      <c r="C421" s="15"/>
      <c r="E421" s="15"/>
    </row>
    <row r="422">
      <c r="A422" s="15"/>
      <c r="C422" s="15"/>
      <c r="E422" s="15"/>
    </row>
    <row r="423">
      <c r="A423" s="15"/>
      <c r="C423" s="15"/>
      <c r="E423" s="15"/>
    </row>
    <row r="424">
      <c r="A424" s="15"/>
      <c r="C424" s="15"/>
      <c r="E424" s="15"/>
    </row>
    <row r="425">
      <c r="A425" s="15"/>
      <c r="C425" s="15"/>
      <c r="E425" s="15"/>
    </row>
    <row r="426">
      <c r="A426" s="15"/>
      <c r="C426" s="15"/>
      <c r="E426" s="15"/>
    </row>
    <row r="427">
      <c r="A427" s="15"/>
      <c r="C427" s="15"/>
      <c r="E427" s="15"/>
    </row>
    <row r="428">
      <c r="A428" s="15"/>
      <c r="C428" s="15"/>
      <c r="E428" s="15"/>
    </row>
    <row r="429">
      <c r="A429" s="15"/>
      <c r="C429" s="15"/>
      <c r="E429" s="15"/>
    </row>
    <row r="430">
      <c r="A430" s="15"/>
      <c r="C430" s="15"/>
      <c r="E430" s="15"/>
    </row>
    <row r="431">
      <c r="A431" s="15"/>
      <c r="C431" s="15"/>
      <c r="E431" s="15"/>
    </row>
    <row r="432">
      <c r="A432" s="15"/>
      <c r="C432" s="15"/>
      <c r="E432" s="15"/>
    </row>
    <row r="433">
      <c r="A433" s="15"/>
      <c r="C433" s="15"/>
      <c r="E433" s="15"/>
    </row>
    <row r="434">
      <c r="A434" s="15"/>
      <c r="C434" s="15"/>
      <c r="E434" s="15"/>
    </row>
    <row r="435">
      <c r="A435" s="15"/>
      <c r="C435" s="15"/>
      <c r="E435" s="15"/>
    </row>
    <row r="436">
      <c r="A436" s="15"/>
      <c r="C436" s="15"/>
      <c r="E436" s="15"/>
    </row>
    <row r="437">
      <c r="A437" s="15"/>
      <c r="C437" s="15"/>
      <c r="E437" s="15"/>
    </row>
    <row r="438">
      <c r="A438" s="15"/>
      <c r="C438" s="15"/>
      <c r="E438" s="15"/>
    </row>
    <row r="439">
      <c r="A439" s="15"/>
      <c r="C439" s="15"/>
      <c r="E439" s="15"/>
    </row>
    <row r="440">
      <c r="A440" s="15"/>
      <c r="C440" s="15"/>
      <c r="E440" s="15"/>
    </row>
    <row r="441">
      <c r="A441" s="15"/>
      <c r="C441" s="15"/>
      <c r="E441" s="15"/>
    </row>
    <row r="442">
      <c r="A442" s="15"/>
      <c r="C442" s="15"/>
      <c r="E442" s="15"/>
    </row>
    <row r="443">
      <c r="A443" s="15"/>
      <c r="C443" s="15"/>
      <c r="E443" s="15"/>
    </row>
    <row r="444">
      <c r="A444" s="15"/>
      <c r="C444" s="15"/>
      <c r="E444" s="15"/>
    </row>
    <row r="445">
      <c r="A445" s="15"/>
      <c r="C445" s="15"/>
      <c r="E445" s="15"/>
    </row>
    <row r="446">
      <c r="A446" s="15"/>
      <c r="C446" s="15"/>
      <c r="E446" s="15"/>
    </row>
    <row r="447">
      <c r="A447" s="15"/>
      <c r="C447" s="15"/>
      <c r="E447" s="15"/>
    </row>
    <row r="448">
      <c r="A448" s="15"/>
      <c r="C448" s="15"/>
      <c r="E448" s="15"/>
    </row>
    <row r="449">
      <c r="A449" s="15"/>
      <c r="C449" s="15"/>
      <c r="E449" s="15"/>
    </row>
    <row r="450">
      <c r="A450" s="15"/>
      <c r="C450" s="15"/>
      <c r="E450" s="15"/>
    </row>
    <row r="451">
      <c r="A451" s="15"/>
      <c r="C451" s="15"/>
      <c r="E451" s="15"/>
    </row>
    <row r="452">
      <c r="A452" s="15"/>
      <c r="C452" s="15"/>
      <c r="E452" s="15"/>
    </row>
    <row r="453">
      <c r="A453" s="15"/>
      <c r="C453" s="15"/>
      <c r="E453" s="15"/>
    </row>
    <row r="454">
      <c r="A454" s="15"/>
      <c r="C454" s="15"/>
      <c r="E454" s="15"/>
    </row>
    <row r="455">
      <c r="A455" s="15"/>
      <c r="C455" s="15"/>
      <c r="E455" s="15"/>
    </row>
    <row r="456">
      <c r="A456" s="15"/>
      <c r="C456" s="15"/>
      <c r="E456" s="15"/>
    </row>
    <row r="457">
      <c r="A457" s="15"/>
      <c r="C457" s="15"/>
      <c r="E457" s="15"/>
    </row>
    <row r="458">
      <c r="A458" s="15"/>
      <c r="C458" s="15"/>
      <c r="E458" s="15"/>
    </row>
    <row r="459">
      <c r="A459" s="15"/>
      <c r="C459" s="15"/>
      <c r="E459" s="15"/>
    </row>
    <row r="460">
      <c r="A460" s="15"/>
      <c r="C460" s="15"/>
      <c r="E460" s="15"/>
    </row>
    <row r="461">
      <c r="A461" s="15"/>
      <c r="C461" s="15"/>
      <c r="E461" s="15"/>
    </row>
    <row r="462">
      <c r="A462" s="15"/>
      <c r="C462" s="15"/>
      <c r="E462" s="15"/>
    </row>
    <row r="463">
      <c r="A463" s="15"/>
      <c r="C463" s="15"/>
      <c r="E463" s="15"/>
    </row>
    <row r="464">
      <c r="A464" s="15"/>
      <c r="C464" s="15"/>
      <c r="E464" s="15"/>
    </row>
    <row r="465">
      <c r="A465" s="15"/>
      <c r="C465" s="15"/>
      <c r="E465" s="15"/>
    </row>
    <row r="466">
      <c r="A466" s="15"/>
      <c r="C466" s="15"/>
      <c r="E466" s="15"/>
    </row>
    <row r="467">
      <c r="A467" s="15"/>
      <c r="C467" s="15"/>
      <c r="E467" s="15"/>
    </row>
    <row r="468">
      <c r="A468" s="15"/>
      <c r="C468" s="15"/>
      <c r="E468" s="15"/>
    </row>
    <row r="469">
      <c r="A469" s="15"/>
      <c r="C469" s="15"/>
      <c r="E469" s="15"/>
    </row>
    <row r="470">
      <c r="A470" s="15"/>
      <c r="C470" s="15"/>
      <c r="E470" s="15"/>
    </row>
    <row r="471">
      <c r="A471" s="15"/>
      <c r="C471" s="15"/>
      <c r="E471" s="15"/>
    </row>
    <row r="472">
      <c r="A472" s="15"/>
      <c r="C472" s="15"/>
      <c r="E472" s="15"/>
    </row>
    <row r="473">
      <c r="A473" s="15"/>
      <c r="C473" s="15"/>
      <c r="E473" s="15"/>
    </row>
    <row r="474">
      <c r="A474" s="15"/>
      <c r="C474" s="15"/>
      <c r="E474" s="15"/>
    </row>
    <row r="475">
      <c r="A475" s="15"/>
      <c r="C475" s="15"/>
      <c r="E475" s="15"/>
    </row>
    <row r="476">
      <c r="A476" s="15"/>
      <c r="C476" s="15"/>
      <c r="E476" s="15"/>
    </row>
    <row r="477">
      <c r="A477" s="15"/>
      <c r="C477" s="15"/>
      <c r="E477" s="15"/>
    </row>
    <row r="478">
      <c r="A478" s="15"/>
      <c r="C478" s="15"/>
      <c r="E478" s="15"/>
    </row>
    <row r="479">
      <c r="A479" s="15"/>
      <c r="C479" s="15"/>
      <c r="E479" s="15"/>
    </row>
    <row r="480">
      <c r="A480" s="15"/>
      <c r="C480" s="15"/>
      <c r="E480" s="15"/>
    </row>
    <row r="481">
      <c r="A481" s="15"/>
      <c r="C481" s="15"/>
      <c r="E481" s="15"/>
    </row>
    <row r="482">
      <c r="A482" s="15"/>
      <c r="C482" s="15"/>
      <c r="E482" s="15"/>
    </row>
    <row r="483">
      <c r="A483" s="15"/>
      <c r="C483" s="15"/>
      <c r="E483" s="15"/>
    </row>
    <row r="484">
      <c r="A484" s="15"/>
      <c r="C484" s="15"/>
      <c r="E484" s="15"/>
    </row>
    <row r="485">
      <c r="A485" s="15"/>
      <c r="C485" s="15"/>
      <c r="E485" s="15"/>
    </row>
    <row r="486">
      <c r="A486" s="15"/>
      <c r="C486" s="15"/>
      <c r="E486" s="15"/>
    </row>
    <row r="487">
      <c r="A487" s="15"/>
      <c r="C487" s="15"/>
      <c r="E487" s="15"/>
    </row>
    <row r="488">
      <c r="A488" s="15"/>
      <c r="C488" s="15"/>
      <c r="E488" s="15"/>
    </row>
    <row r="489">
      <c r="A489" s="15"/>
      <c r="C489" s="15"/>
      <c r="E489" s="15"/>
    </row>
    <row r="490">
      <c r="A490" s="15"/>
      <c r="C490" s="15"/>
      <c r="E490" s="15"/>
    </row>
    <row r="491">
      <c r="A491" s="15"/>
      <c r="C491" s="15"/>
      <c r="E491" s="15"/>
    </row>
    <row r="492">
      <c r="A492" s="15"/>
      <c r="C492" s="15"/>
      <c r="E492" s="15"/>
    </row>
    <row r="493">
      <c r="A493" s="15"/>
      <c r="C493" s="15"/>
      <c r="E493" s="15"/>
    </row>
    <row r="494">
      <c r="A494" s="15"/>
      <c r="C494" s="15"/>
      <c r="E494" s="15"/>
    </row>
    <row r="495">
      <c r="A495" s="15"/>
      <c r="C495" s="15"/>
      <c r="E495" s="15"/>
    </row>
    <row r="496">
      <c r="A496" s="15"/>
      <c r="C496" s="15"/>
      <c r="E496" s="15"/>
    </row>
    <row r="497">
      <c r="A497" s="15"/>
      <c r="C497" s="15"/>
      <c r="E497" s="15"/>
    </row>
    <row r="498">
      <c r="A498" s="15"/>
      <c r="C498" s="15"/>
      <c r="E498" s="15"/>
    </row>
    <row r="499">
      <c r="A499" s="15"/>
      <c r="C499" s="15"/>
      <c r="E499" s="15"/>
    </row>
    <row r="500">
      <c r="A500" s="15"/>
      <c r="C500" s="15"/>
      <c r="E500" s="15"/>
    </row>
    <row r="501">
      <c r="A501" s="15"/>
      <c r="C501" s="15"/>
      <c r="E501" s="15"/>
    </row>
    <row r="502">
      <c r="A502" s="15"/>
      <c r="C502" s="15"/>
      <c r="E502" s="15"/>
    </row>
    <row r="503">
      <c r="A503" s="15"/>
      <c r="C503" s="15"/>
      <c r="E503" s="15"/>
    </row>
    <row r="504">
      <c r="A504" s="15"/>
      <c r="C504" s="15"/>
      <c r="E504" s="15"/>
    </row>
    <row r="505">
      <c r="A505" s="15"/>
      <c r="C505" s="15"/>
      <c r="E505" s="15"/>
    </row>
    <row r="506">
      <c r="A506" s="15"/>
      <c r="C506" s="15"/>
      <c r="E506" s="15"/>
    </row>
    <row r="507">
      <c r="A507" s="15"/>
      <c r="C507" s="15"/>
      <c r="E507" s="15"/>
    </row>
    <row r="508">
      <c r="A508" s="15"/>
      <c r="C508" s="15"/>
      <c r="E508" s="15"/>
    </row>
    <row r="509">
      <c r="A509" s="15"/>
      <c r="C509" s="15"/>
      <c r="E509" s="15"/>
    </row>
    <row r="510">
      <c r="A510" s="15"/>
      <c r="C510" s="15"/>
      <c r="E510" s="15"/>
    </row>
    <row r="511">
      <c r="A511" s="15"/>
      <c r="C511" s="15"/>
      <c r="E511" s="15"/>
    </row>
    <row r="512">
      <c r="A512" s="15"/>
      <c r="C512" s="15"/>
      <c r="E512" s="15"/>
    </row>
    <row r="513">
      <c r="A513" s="15"/>
      <c r="C513" s="15"/>
      <c r="E513" s="15"/>
    </row>
    <row r="514">
      <c r="A514" s="15"/>
      <c r="C514" s="15"/>
      <c r="E514" s="15"/>
    </row>
    <row r="515">
      <c r="A515" s="15"/>
      <c r="C515" s="15"/>
      <c r="E515" s="15"/>
    </row>
    <row r="516">
      <c r="A516" s="15"/>
      <c r="C516" s="15"/>
      <c r="E516" s="15"/>
    </row>
    <row r="517">
      <c r="A517" s="15"/>
      <c r="C517" s="15"/>
      <c r="E517" s="15"/>
    </row>
    <row r="518">
      <c r="A518" s="15"/>
      <c r="C518" s="15"/>
      <c r="E518" s="15"/>
    </row>
    <row r="519">
      <c r="A519" s="15"/>
      <c r="C519" s="15"/>
      <c r="E519" s="15"/>
    </row>
    <row r="520">
      <c r="A520" s="15"/>
      <c r="C520" s="15"/>
      <c r="E520" s="15"/>
    </row>
    <row r="521">
      <c r="A521" s="15"/>
      <c r="C521" s="15"/>
      <c r="E521" s="15"/>
    </row>
    <row r="522">
      <c r="A522" s="15"/>
      <c r="C522" s="15"/>
      <c r="E522" s="15"/>
    </row>
    <row r="523">
      <c r="A523" s="15"/>
      <c r="C523" s="15"/>
      <c r="E523" s="15"/>
    </row>
    <row r="524">
      <c r="A524" s="15"/>
      <c r="C524" s="15"/>
      <c r="E524" s="15"/>
    </row>
    <row r="525">
      <c r="A525" s="15"/>
      <c r="C525" s="15"/>
      <c r="E525" s="15"/>
    </row>
    <row r="526">
      <c r="A526" s="15"/>
      <c r="C526" s="15"/>
      <c r="E526" s="15"/>
    </row>
    <row r="527">
      <c r="A527" s="15"/>
      <c r="C527" s="15"/>
      <c r="E527" s="15"/>
    </row>
    <row r="528">
      <c r="A528" s="15"/>
      <c r="C528" s="15"/>
      <c r="E528" s="15"/>
    </row>
    <row r="529">
      <c r="A529" s="15"/>
      <c r="C529" s="15"/>
      <c r="E529" s="15"/>
    </row>
    <row r="530">
      <c r="A530" s="15"/>
      <c r="C530" s="15"/>
      <c r="E530" s="15"/>
    </row>
    <row r="531">
      <c r="A531" s="15"/>
      <c r="C531" s="15"/>
      <c r="E531" s="15"/>
    </row>
    <row r="532">
      <c r="A532" s="15"/>
      <c r="C532" s="15"/>
      <c r="E532" s="15"/>
    </row>
    <row r="533">
      <c r="A533" s="15"/>
      <c r="C533" s="15"/>
      <c r="E533" s="15"/>
    </row>
    <row r="534">
      <c r="A534" s="15"/>
      <c r="C534" s="15"/>
      <c r="E534" s="15"/>
    </row>
    <row r="535">
      <c r="A535" s="15"/>
      <c r="C535" s="15"/>
      <c r="E535" s="15"/>
    </row>
    <row r="536">
      <c r="A536" s="15"/>
      <c r="C536" s="15"/>
      <c r="E536" s="15"/>
    </row>
    <row r="537">
      <c r="A537" s="15"/>
      <c r="C537" s="15"/>
      <c r="E537" s="15"/>
    </row>
    <row r="538">
      <c r="A538" s="15"/>
      <c r="C538" s="15"/>
      <c r="E538" s="15"/>
    </row>
    <row r="539">
      <c r="A539" s="15"/>
      <c r="C539" s="15"/>
      <c r="E539" s="15"/>
    </row>
    <row r="540">
      <c r="A540" s="15"/>
      <c r="C540" s="15"/>
      <c r="E540" s="15"/>
    </row>
    <row r="541">
      <c r="A541" s="15"/>
      <c r="C541" s="15"/>
      <c r="E541" s="15"/>
    </row>
    <row r="542">
      <c r="A542" s="15"/>
      <c r="C542" s="15"/>
      <c r="E542" s="15"/>
    </row>
    <row r="543">
      <c r="A543" s="15"/>
      <c r="C543" s="15"/>
      <c r="E543" s="15"/>
    </row>
    <row r="544">
      <c r="A544" s="15"/>
      <c r="C544" s="15"/>
      <c r="E544" s="15"/>
    </row>
    <row r="545">
      <c r="A545" s="15"/>
      <c r="C545" s="15"/>
      <c r="E545" s="15"/>
    </row>
    <row r="546">
      <c r="A546" s="15"/>
      <c r="C546" s="15"/>
      <c r="E546" s="15"/>
    </row>
    <row r="547">
      <c r="A547" s="15"/>
      <c r="C547" s="15"/>
      <c r="E547" s="15"/>
    </row>
    <row r="548">
      <c r="A548" s="15"/>
      <c r="C548" s="15"/>
      <c r="E548" s="15"/>
    </row>
    <row r="549">
      <c r="A549" s="15"/>
      <c r="C549" s="15"/>
      <c r="E549" s="15"/>
    </row>
    <row r="550">
      <c r="A550" s="15"/>
      <c r="C550" s="15"/>
      <c r="E550" s="15"/>
    </row>
    <row r="551">
      <c r="A551" s="15"/>
      <c r="C551" s="15"/>
      <c r="E551" s="15"/>
    </row>
    <row r="552">
      <c r="A552" s="15"/>
      <c r="C552" s="15"/>
      <c r="E552" s="15"/>
    </row>
    <row r="553">
      <c r="A553" s="15"/>
      <c r="C553" s="15"/>
      <c r="E553" s="15"/>
    </row>
    <row r="554">
      <c r="A554" s="15"/>
      <c r="C554" s="15"/>
      <c r="E554" s="15"/>
    </row>
    <row r="555">
      <c r="A555" s="15"/>
      <c r="C555" s="15"/>
      <c r="E555" s="15"/>
    </row>
    <row r="556">
      <c r="A556" s="15"/>
      <c r="C556" s="15"/>
      <c r="E556" s="15"/>
    </row>
    <row r="557">
      <c r="A557" s="15"/>
      <c r="C557" s="15"/>
      <c r="E557" s="15"/>
    </row>
    <row r="558">
      <c r="A558" s="15"/>
      <c r="C558" s="15"/>
      <c r="E558" s="15"/>
    </row>
    <row r="559">
      <c r="A559" s="15"/>
      <c r="C559" s="15"/>
      <c r="E559" s="15"/>
    </row>
    <row r="560">
      <c r="A560" s="15"/>
      <c r="C560" s="15"/>
      <c r="E560" s="15"/>
    </row>
    <row r="561">
      <c r="A561" s="15"/>
      <c r="C561" s="15"/>
      <c r="E561" s="15"/>
    </row>
    <row r="562">
      <c r="A562" s="15"/>
      <c r="C562" s="15"/>
      <c r="E562" s="15"/>
    </row>
    <row r="563">
      <c r="A563" s="15"/>
      <c r="C563" s="15"/>
      <c r="E563" s="15"/>
    </row>
    <row r="564">
      <c r="A564" s="15"/>
      <c r="C564" s="15"/>
      <c r="E564" s="15"/>
    </row>
    <row r="565">
      <c r="A565" s="15"/>
      <c r="C565" s="15"/>
      <c r="E565" s="15"/>
    </row>
    <row r="566">
      <c r="A566" s="15"/>
      <c r="C566" s="15"/>
      <c r="E566" s="15"/>
    </row>
    <row r="567">
      <c r="A567" s="15"/>
      <c r="C567" s="15"/>
      <c r="E567" s="15"/>
    </row>
    <row r="568">
      <c r="A568" s="15"/>
      <c r="C568" s="15"/>
      <c r="E568" s="15"/>
    </row>
    <row r="569">
      <c r="A569" s="15"/>
      <c r="C569" s="15"/>
      <c r="E569" s="15"/>
    </row>
    <row r="570">
      <c r="A570" s="15"/>
      <c r="C570" s="15"/>
      <c r="E570" s="15"/>
    </row>
    <row r="571">
      <c r="A571" s="15"/>
      <c r="C571" s="15"/>
      <c r="E571" s="15"/>
    </row>
    <row r="572">
      <c r="A572" s="15"/>
      <c r="C572" s="15"/>
      <c r="E572" s="15"/>
    </row>
    <row r="573">
      <c r="A573" s="15"/>
      <c r="C573" s="15"/>
      <c r="E573" s="15"/>
    </row>
    <row r="574">
      <c r="A574" s="15"/>
      <c r="C574" s="15"/>
      <c r="E574" s="15"/>
    </row>
    <row r="575">
      <c r="A575" s="15"/>
      <c r="C575" s="15"/>
      <c r="E575" s="15"/>
    </row>
    <row r="576">
      <c r="A576" s="15"/>
      <c r="C576" s="15"/>
      <c r="E576" s="15"/>
    </row>
    <row r="577">
      <c r="A577" s="15"/>
      <c r="C577" s="15"/>
      <c r="E577" s="15"/>
    </row>
    <row r="578">
      <c r="A578" s="15"/>
      <c r="C578" s="15"/>
      <c r="E578" s="15"/>
    </row>
    <row r="579">
      <c r="A579" s="15"/>
      <c r="C579" s="15"/>
      <c r="E579" s="15"/>
    </row>
    <row r="580">
      <c r="A580" s="15"/>
      <c r="C580" s="15"/>
      <c r="E580" s="15"/>
    </row>
    <row r="581">
      <c r="A581" s="15"/>
      <c r="C581" s="15"/>
      <c r="E581" s="15"/>
    </row>
    <row r="582">
      <c r="A582" s="15"/>
      <c r="C582" s="15"/>
      <c r="E582" s="15"/>
    </row>
    <row r="583">
      <c r="A583" s="15"/>
      <c r="C583" s="15"/>
      <c r="E583" s="15"/>
    </row>
    <row r="584">
      <c r="A584" s="15"/>
      <c r="C584" s="15"/>
      <c r="E584" s="15"/>
    </row>
    <row r="585">
      <c r="A585" s="15"/>
      <c r="C585" s="15"/>
      <c r="E585" s="15"/>
    </row>
    <row r="586">
      <c r="A586" s="15"/>
      <c r="C586" s="15"/>
      <c r="E586" s="15"/>
    </row>
    <row r="587">
      <c r="A587" s="15"/>
      <c r="C587" s="15"/>
      <c r="E587" s="15"/>
    </row>
    <row r="588">
      <c r="A588" s="15"/>
      <c r="C588" s="15"/>
      <c r="E588" s="15"/>
    </row>
    <row r="589">
      <c r="A589" s="15"/>
      <c r="C589" s="15"/>
      <c r="E589" s="15"/>
    </row>
    <row r="590">
      <c r="A590" s="15"/>
      <c r="C590" s="15"/>
      <c r="E590" s="15"/>
    </row>
    <row r="591">
      <c r="A591" s="15"/>
      <c r="C591" s="15"/>
      <c r="E591" s="15"/>
    </row>
    <row r="592">
      <c r="A592" s="15"/>
      <c r="C592" s="15"/>
      <c r="E592" s="15"/>
    </row>
    <row r="593">
      <c r="A593" s="15"/>
      <c r="C593" s="15"/>
      <c r="E593" s="15"/>
    </row>
    <row r="594">
      <c r="A594" s="15"/>
      <c r="C594" s="15"/>
      <c r="E594" s="15"/>
    </row>
    <row r="595">
      <c r="A595" s="15"/>
      <c r="C595" s="15"/>
      <c r="E595" s="15"/>
    </row>
    <row r="596">
      <c r="A596" s="15"/>
      <c r="C596" s="15"/>
      <c r="E596" s="15"/>
    </row>
    <row r="597">
      <c r="A597" s="15"/>
      <c r="C597" s="15"/>
      <c r="E597" s="15"/>
    </row>
    <row r="598">
      <c r="A598" s="15"/>
      <c r="C598" s="15"/>
      <c r="E598" s="15"/>
    </row>
    <row r="599">
      <c r="A599" s="15"/>
      <c r="C599" s="15"/>
      <c r="E599" s="15"/>
    </row>
    <row r="600">
      <c r="A600" s="15"/>
      <c r="C600" s="15"/>
      <c r="E600" s="15"/>
    </row>
    <row r="601">
      <c r="A601" s="15"/>
      <c r="C601" s="15"/>
      <c r="E601" s="15"/>
    </row>
    <row r="602">
      <c r="A602" s="15"/>
      <c r="C602" s="15"/>
      <c r="E602" s="15"/>
    </row>
    <row r="603">
      <c r="A603" s="15"/>
      <c r="C603" s="15"/>
      <c r="E603" s="15"/>
    </row>
    <row r="604">
      <c r="A604" s="15"/>
      <c r="C604" s="15"/>
      <c r="E604" s="15"/>
    </row>
    <row r="605">
      <c r="A605" s="15"/>
      <c r="C605" s="15"/>
      <c r="E605" s="15"/>
    </row>
    <row r="606">
      <c r="A606" s="15"/>
      <c r="C606" s="15"/>
      <c r="E606" s="15"/>
    </row>
    <row r="607">
      <c r="A607" s="15"/>
      <c r="C607" s="15"/>
      <c r="E607" s="15"/>
    </row>
    <row r="608">
      <c r="A608" s="15"/>
      <c r="C608" s="15"/>
      <c r="E608" s="15"/>
    </row>
    <row r="609">
      <c r="A609" s="15"/>
      <c r="C609" s="15"/>
      <c r="E609" s="15"/>
    </row>
    <row r="610">
      <c r="A610" s="15"/>
      <c r="C610" s="15"/>
      <c r="E610" s="15"/>
    </row>
    <row r="611">
      <c r="A611" s="15"/>
      <c r="C611" s="15"/>
      <c r="E611" s="15"/>
    </row>
    <row r="612">
      <c r="A612" s="15"/>
      <c r="C612" s="15"/>
      <c r="E612" s="15"/>
    </row>
    <row r="613">
      <c r="A613" s="15"/>
      <c r="C613" s="15"/>
      <c r="E613" s="15"/>
    </row>
    <row r="614">
      <c r="A614" s="15"/>
      <c r="C614" s="15"/>
      <c r="E614" s="15"/>
    </row>
    <row r="615">
      <c r="A615" s="15"/>
      <c r="C615" s="15"/>
      <c r="E615" s="15"/>
    </row>
    <row r="616">
      <c r="A616" s="15"/>
      <c r="C616" s="15"/>
      <c r="E616" s="15"/>
    </row>
    <row r="617">
      <c r="A617" s="15"/>
      <c r="C617" s="15"/>
      <c r="E617" s="15"/>
    </row>
    <row r="618">
      <c r="A618" s="15"/>
      <c r="C618" s="15"/>
      <c r="E618" s="15"/>
    </row>
    <row r="619">
      <c r="A619" s="15"/>
      <c r="C619" s="15"/>
      <c r="E619" s="15"/>
    </row>
    <row r="620">
      <c r="A620" s="15"/>
      <c r="C620" s="15"/>
      <c r="E620" s="15"/>
    </row>
    <row r="621">
      <c r="A621" s="15"/>
      <c r="C621" s="15"/>
      <c r="E621" s="15"/>
    </row>
    <row r="622">
      <c r="A622" s="15"/>
      <c r="C622" s="15"/>
      <c r="E622" s="15"/>
    </row>
    <row r="623">
      <c r="A623" s="15"/>
      <c r="C623" s="15"/>
      <c r="E623" s="15"/>
    </row>
    <row r="624">
      <c r="A624" s="15"/>
      <c r="C624" s="15"/>
      <c r="E624" s="15"/>
    </row>
    <row r="625">
      <c r="A625" s="15"/>
      <c r="C625" s="15"/>
      <c r="E625" s="15"/>
    </row>
    <row r="626">
      <c r="A626" s="15"/>
      <c r="C626" s="15"/>
      <c r="E626" s="15"/>
    </row>
    <row r="627">
      <c r="A627" s="15"/>
      <c r="C627" s="15"/>
      <c r="E627" s="15"/>
    </row>
    <row r="628">
      <c r="A628" s="15"/>
      <c r="C628" s="15"/>
      <c r="E628" s="15"/>
    </row>
    <row r="629">
      <c r="A629" s="15"/>
      <c r="C629" s="15"/>
      <c r="E629" s="15"/>
    </row>
    <row r="630">
      <c r="A630" s="15"/>
      <c r="C630" s="15"/>
      <c r="E630" s="15"/>
    </row>
    <row r="631">
      <c r="A631" s="15"/>
      <c r="C631" s="15"/>
      <c r="E631" s="15"/>
    </row>
    <row r="632">
      <c r="A632" s="15"/>
      <c r="C632" s="15"/>
      <c r="E632" s="15"/>
    </row>
    <row r="633">
      <c r="A633" s="15"/>
      <c r="C633" s="15"/>
      <c r="E633" s="15"/>
    </row>
    <row r="634">
      <c r="A634" s="15"/>
      <c r="C634" s="15"/>
      <c r="E634" s="15"/>
    </row>
    <row r="635">
      <c r="A635" s="15"/>
      <c r="C635" s="15"/>
      <c r="E635" s="15"/>
    </row>
    <row r="636">
      <c r="A636" s="15"/>
      <c r="C636" s="15"/>
      <c r="E636" s="15"/>
    </row>
    <row r="637">
      <c r="A637" s="15"/>
      <c r="C637" s="15"/>
      <c r="E637" s="15"/>
    </row>
    <row r="638">
      <c r="A638" s="15"/>
      <c r="C638" s="15"/>
      <c r="E638" s="15"/>
    </row>
    <row r="639">
      <c r="A639" s="15"/>
      <c r="C639" s="15"/>
      <c r="E639" s="15"/>
    </row>
    <row r="640">
      <c r="A640" s="15"/>
      <c r="C640" s="15"/>
      <c r="E640" s="15"/>
    </row>
    <row r="641">
      <c r="A641" s="15"/>
      <c r="C641" s="15"/>
      <c r="E641" s="15"/>
    </row>
    <row r="642">
      <c r="A642" s="15"/>
      <c r="C642" s="15"/>
      <c r="E642" s="15"/>
    </row>
    <row r="643">
      <c r="A643" s="15"/>
      <c r="C643" s="15"/>
      <c r="E643" s="15"/>
    </row>
    <row r="644">
      <c r="A644" s="15"/>
      <c r="C644" s="15"/>
      <c r="E644" s="15"/>
    </row>
    <row r="645">
      <c r="A645" s="15"/>
      <c r="C645" s="15"/>
      <c r="E645" s="15"/>
    </row>
    <row r="646">
      <c r="A646" s="15"/>
      <c r="C646" s="15"/>
      <c r="E646" s="15"/>
    </row>
    <row r="647">
      <c r="A647" s="15"/>
      <c r="C647" s="15"/>
      <c r="E647" s="15"/>
    </row>
    <row r="648">
      <c r="A648" s="15"/>
      <c r="C648" s="15"/>
      <c r="E648" s="15"/>
    </row>
    <row r="649">
      <c r="A649" s="15"/>
      <c r="C649" s="15"/>
      <c r="E649" s="15"/>
    </row>
    <row r="650">
      <c r="A650" s="15"/>
      <c r="C650" s="15"/>
      <c r="E650" s="15"/>
    </row>
    <row r="651">
      <c r="A651" s="15"/>
      <c r="C651" s="15"/>
      <c r="E651" s="15"/>
    </row>
    <row r="652">
      <c r="A652" s="15"/>
      <c r="C652" s="15"/>
      <c r="E652" s="15"/>
    </row>
    <row r="653">
      <c r="A653" s="15"/>
      <c r="C653" s="15"/>
      <c r="E653" s="15"/>
    </row>
    <row r="654">
      <c r="A654" s="15"/>
      <c r="C654" s="15"/>
      <c r="E654" s="15"/>
    </row>
    <row r="655">
      <c r="A655" s="15"/>
      <c r="C655" s="15"/>
      <c r="E655" s="15"/>
    </row>
    <row r="656">
      <c r="A656" s="15"/>
      <c r="C656" s="15"/>
      <c r="E656" s="15"/>
    </row>
    <row r="657">
      <c r="A657" s="15"/>
      <c r="C657" s="15"/>
      <c r="E657" s="15"/>
    </row>
    <row r="658">
      <c r="A658" s="15"/>
      <c r="C658" s="15"/>
      <c r="E658" s="15"/>
    </row>
    <row r="659">
      <c r="A659" s="15"/>
      <c r="C659" s="15"/>
      <c r="E659" s="15"/>
    </row>
    <row r="660">
      <c r="A660" s="15"/>
      <c r="C660" s="15"/>
      <c r="E660" s="15"/>
    </row>
    <row r="661">
      <c r="A661" s="15"/>
      <c r="C661" s="15"/>
      <c r="E661" s="15"/>
    </row>
    <row r="662">
      <c r="A662" s="15"/>
      <c r="C662" s="15"/>
      <c r="E662" s="15"/>
    </row>
    <row r="663">
      <c r="A663" s="15"/>
      <c r="C663" s="15"/>
      <c r="E663" s="15"/>
    </row>
    <row r="664">
      <c r="A664" s="15"/>
      <c r="C664" s="15"/>
      <c r="E664" s="15"/>
    </row>
    <row r="665">
      <c r="A665" s="15"/>
      <c r="C665" s="15"/>
      <c r="E665" s="15"/>
    </row>
    <row r="666">
      <c r="A666" s="15"/>
      <c r="C666" s="15"/>
      <c r="E666" s="15"/>
    </row>
    <row r="667">
      <c r="A667" s="15"/>
      <c r="C667" s="15"/>
      <c r="E667" s="15"/>
    </row>
    <row r="668">
      <c r="A668" s="15"/>
      <c r="C668" s="15"/>
      <c r="E668" s="15"/>
    </row>
    <row r="669">
      <c r="A669" s="15"/>
      <c r="C669" s="15"/>
      <c r="E669" s="15"/>
    </row>
    <row r="670">
      <c r="A670" s="15"/>
      <c r="C670" s="15"/>
      <c r="E670" s="15"/>
    </row>
    <row r="671">
      <c r="A671" s="15"/>
      <c r="C671" s="15"/>
      <c r="E671" s="15"/>
    </row>
    <row r="672">
      <c r="A672" s="15"/>
      <c r="C672" s="15"/>
      <c r="E672" s="15"/>
    </row>
    <row r="673">
      <c r="A673" s="15"/>
      <c r="C673" s="15"/>
      <c r="E673" s="15"/>
    </row>
    <row r="674">
      <c r="A674" s="15"/>
      <c r="C674" s="15"/>
      <c r="E674" s="15"/>
    </row>
    <row r="675">
      <c r="A675" s="15"/>
      <c r="C675" s="15"/>
      <c r="E675" s="15"/>
    </row>
    <row r="676">
      <c r="A676" s="15"/>
      <c r="C676" s="15"/>
      <c r="E676" s="15"/>
    </row>
    <row r="677">
      <c r="A677" s="15"/>
      <c r="C677" s="15"/>
      <c r="E677" s="15"/>
    </row>
    <row r="678">
      <c r="A678" s="15"/>
      <c r="C678" s="15"/>
      <c r="E678" s="15"/>
    </row>
    <row r="679">
      <c r="A679" s="15"/>
      <c r="C679" s="15"/>
      <c r="E679" s="15"/>
    </row>
    <row r="680">
      <c r="A680" s="15"/>
      <c r="C680" s="15"/>
      <c r="E680" s="15"/>
    </row>
    <row r="681">
      <c r="A681" s="15"/>
      <c r="C681" s="15"/>
      <c r="E681" s="15"/>
    </row>
    <row r="682">
      <c r="A682" s="15"/>
      <c r="C682" s="15"/>
      <c r="E682" s="15"/>
    </row>
    <row r="683">
      <c r="A683" s="15"/>
      <c r="C683" s="15"/>
      <c r="E683" s="15"/>
    </row>
    <row r="684">
      <c r="A684" s="15"/>
      <c r="C684" s="15"/>
      <c r="E684" s="15"/>
    </row>
    <row r="685">
      <c r="A685" s="15"/>
      <c r="C685" s="15"/>
      <c r="E685" s="15"/>
    </row>
    <row r="686">
      <c r="A686" s="15"/>
      <c r="C686" s="15"/>
      <c r="E686" s="15"/>
    </row>
    <row r="687">
      <c r="A687" s="15"/>
      <c r="C687" s="15"/>
      <c r="E687" s="15"/>
    </row>
    <row r="688">
      <c r="A688" s="15"/>
      <c r="C688" s="15"/>
      <c r="E688" s="15"/>
    </row>
    <row r="689">
      <c r="A689" s="15"/>
      <c r="C689" s="15"/>
      <c r="E689" s="15"/>
    </row>
    <row r="690">
      <c r="A690" s="15"/>
      <c r="C690" s="15"/>
      <c r="E690" s="15"/>
    </row>
    <row r="691">
      <c r="A691" s="15"/>
      <c r="C691" s="15"/>
      <c r="E691" s="15"/>
    </row>
    <row r="692">
      <c r="A692" s="15"/>
      <c r="C692" s="15"/>
      <c r="E692" s="15"/>
    </row>
    <row r="693">
      <c r="A693" s="15"/>
      <c r="C693" s="15"/>
      <c r="E693" s="15"/>
    </row>
    <row r="694">
      <c r="A694" s="15"/>
      <c r="C694" s="15"/>
      <c r="E694" s="15"/>
    </row>
    <row r="695">
      <c r="A695" s="15"/>
      <c r="C695" s="15"/>
      <c r="E695" s="15"/>
    </row>
    <row r="696">
      <c r="A696" s="15"/>
      <c r="C696" s="15"/>
      <c r="E696" s="15"/>
    </row>
    <row r="697">
      <c r="A697" s="15"/>
      <c r="C697" s="15"/>
      <c r="E697" s="15"/>
    </row>
    <row r="698">
      <c r="A698" s="15"/>
      <c r="C698" s="15"/>
      <c r="E698" s="15"/>
    </row>
    <row r="699">
      <c r="A699" s="15"/>
      <c r="C699" s="15"/>
      <c r="E699" s="15"/>
    </row>
    <row r="700">
      <c r="A700" s="15"/>
      <c r="C700" s="15"/>
      <c r="E700" s="15"/>
    </row>
    <row r="701">
      <c r="A701" s="15"/>
      <c r="C701" s="15"/>
      <c r="E701" s="15"/>
    </row>
    <row r="702">
      <c r="A702" s="15"/>
      <c r="C702" s="15"/>
      <c r="E702" s="15"/>
    </row>
    <row r="703">
      <c r="A703" s="15"/>
      <c r="C703" s="15"/>
      <c r="E703" s="15"/>
    </row>
    <row r="704">
      <c r="A704" s="15"/>
      <c r="C704" s="15"/>
      <c r="E704" s="15"/>
    </row>
    <row r="705">
      <c r="A705" s="15"/>
      <c r="C705" s="15"/>
      <c r="E705" s="15"/>
    </row>
    <row r="706">
      <c r="A706" s="15"/>
      <c r="C706" s="15"/>
      <c r="E706" s="15"/>
    </row>
    <row r="707">
      <c r="A707" s="15"/>
      <c r="C707" s="15"/>
      <c r="E707" s="15"/>
    </row>
    <row r="708">
      <c r="A708" s="15"/>
      <c r="C708" s="15"/>
      <c r="E708" s="15"/>
    </row>
    <row r="709">
      <c r="A709" s="15"/>
      <c r="C709" s="15"/>
      <c r="E709" s="15"/>
    </row>
    <row r="710">
      <c r="A710" s="15"/>
      <c r="C710" s="15"/>
      <c r="E710" s="15"/>
    </row>
    <row r="711">
      <c r="A711" s="15"/>
      <c r="C711" s="15"/>
      <c r="E711" s="15"/>
    </row>
    <row r="712">
      <c r="A712" s="15"/>
      <c r="C712" s="15"/>
      <c r="E712" s="15"/>
    </row>
    <row r="713">
      <c r="A713" s="15"/>
      <c r="C713" s="15"/>
      <c r="E713" s="15"/>
    </row>
    <row r="714">
      <c r="A714" s="15"/>
      <c r="C714" s="15"/>
      <c r="E714" s="15"/>
    </row>
    <row r="715">
      <c r="A715" s="15"/>
      <c r="C715" s="15"/>
      <c r="E715" s="15"/>
    </row>
    <row r="716">
      <c r="A716" s="15"/>
      <c r="C716" s="15"/>
      <c r="E716" s="15"/>
    </row>
    <row r="717">
      <c r="A717" s="15"/>
      <c r="C717" s="15"/>
      <c r="E717" s="15"/>
    </row>
    <row r="718">
      <c r="A718" s="15"/>
      <c r="C718" s="15"/>
      <c r="E718" s="15"/>
    </row>
    <row r="719">
      <c r="A719" s="15"/>
      <c r="C719" s="15"/>
      <c r="E719" s="15"/>
    </row>
    <row r="720">
      <c r="A720" s="15"/>
      <c r="C720" s="15"/>
      <c r="E720" s="15"/>
    </row>
    <row r="721">
      <c r="A721" s="15"/>
      <c r="C721" s="15"/>
      <c r="E721" s="15"/>
    </row>
    <row r="722">
      <c r="A722" s="15"/>
      <c r="C722" s="15"/>
      <c r="E722" s="15"/>
    </row>
    <row r="723">
      <c r="A723" s="15"/>
      <c r="C723" s="15"/>
      <c r="E723" s="15"/>
    </row>
    <row r="724">
      <c r="A724" s="15"/>
      <c r="C724" s="15"/>
      <c r="E724" s="15"/>
    </row>
    <row r="725">
      <c r="A725" s="15"/>
      <c r="C725" s="15"/>
      <c r="E725" s="15"/>
    </row>
    <row r="726">
      <c r="A726" s="15"/>
      <c r="C726" s="15"/>
      <c r="E726" s="15"/>
    </row>
    <row r="727">
      <c r="A727" s="15"/>
      <c r="C727" s="15"/>
      <c r="E727" s="15"/>
    </row>
    <row r="728">
      <c r="A728" s="15"/>
      <c r="C728" s="15"/>
      <c r="E728" s="15"/>
    </row>
    <row r="729">
      <c r="A729" s="15"/>
      <c r="C729" s="15"/>
      <c r="E729" s="15"/>
    </row>
    <row r="730">
      <c r="A730" s="15"/>
      <c r="C730" s="15"/>
      <c r="E730" s="15"/>
    </row>
    <row r="731">
      <c r="A731" s="15"/>
      <c r="C731" s="15"/>
      <c r="E731" s="15"/>
    </row>
    <row r="732">
      <c r="A732" s="15"/>
      <c r="C732" s="15"/>
      <c r="E732" s="15"/>
    </row>
    <row r="733">
      <c r="A733" s="15"/>
      <c r="C733" s="15"/>
      <c r="E733" s="15"/>
    </row>
    <row r="734">
      <c r="A734" s="15"/>
      <c r="C734" s="15"/>
      <c r="E734" s="15"/>
    </row>
    <row r="735">
      <c r="A735" s="15"/>
      <c r="C735" s="15"/>
      <c r="E735" s="15"/>
    </row>
    <row r="736">
      <c r="A736" s="15"/>
      <c r="C736" s="15"/>
      <c r="E736" s="15"/>
    </row>
    <row r="737">
      <c r="A737" s="15"/>
      <c r="C737" s="15"/>
      <c r="E737" s="15"/>
    </row>
    <row r="738">
      <c r="A738" s="15"/>
      <c r="C738" s="15"/>
      <c r="E738" s="15"/>
    </row>
    <row r="739">
      <c r="A739" s="15"/>
      <c r="C739" s="15"/>
      <c r="E739" s="15"/>
    </row>
    <row r="740">
      <c r="A740" s="15"/>
      <c r="C740" s="15"/>
      <c r="E740" s="15"/>
    </row>
    <row r="741">
      <c r="A741" s="15"/>
      <c r="C741" s="15"/>
      <c r="E741" s="15"/>
    </row>
    <row r="742">
      <c r="A742" s="15"/>
      <c r="C742" s="15"/>
      <c r="E742" s="15"/>
    </row>
    <row r="743">
      <c r="A743" s="15"/>
      <c r="C743" s="15"/>
      <c r="E743" s="15"/>
    </row>
    <row r="744">
      <c r="A744" s="15"/>
      <c r="C744" s="15"/>
      <c r="E744" s="15"/>
    </row>
    <row r="745">
      <c r="A745" s="15"/>
      <c r="C745" s="15"/>
      <c r="E745" s="15"/>
    </row>
    <row r="746">
      <c r="A746" s="15"/>
      <c r="C746" s="15"/>
      <c r="E746" s="15"/>
    </row>
    <row r="747">
      <c r="A747" s="15"/>
      <c r="C747" s="15"/>
      <c r="E747" s="15"/>
    </row>
    <row r="748">
      <c r="A748" s="15"/>
      <c r="C748" s="15"/>
      <c r="E748" s="15"/>
    </row>
    <row r="749">
      <c r="A749" s="15"/>
      <c r="C749" s="15"/>
      <c r="E749" s="15"/>
    </row>
    <row r="750">
      <c r="A750" s="15"/>
      <c r="C750" s="15"/>
      <c r="E750" s="15"/>
    </row>
    <row r="751">
      <c r="A751" s="15"/>
      <c r="C751" s="15"/>
      <c r="E751" s="15"/>
    </row>
    <row r="752">
      <c r="A752" s="15"/>
      <c r="C752" s="15"/>
      <c r="E752" s="15"/>
    </row>
    <row r="753">
      <c r="A753" s="15"/>
      <c r="C753" s="15"/>
      <c r="E753" s="15"/>
    </row>
    <row r="754">
      <c r="A754" s="15"/>
      <c r="C754" s="15"/>
      <c r="E754" s="15"/>
    </row>
    <row r="755">
      <c r="A755" s="15"/>
      <c r="C755" s="15"/>
      <c r="E755" s="15"/>
    </row>
    <row r="756">
      <c r="A756" s="15"/>
      <c r="C756" s="15"/>
      <c r="E756" s="15"/>
    </row>
    <row r="757">
      <c r="A757" s="15"/>
      <c r="C757" s="15"/>
      <c r="E757" s="15"/>
    </row>
    <row r="758">
      <c r="A758" s="15"/>
      <c r="C758" s="15"/>
      <c r="E758" s="15"/>
    </row>
    <row r="759">
      <c r="A759" s="15"/>
      <c r="C759" s="15"/>
      <c r="E759" s="15"/>
    </row>
    <row r="760">
      <c r="A760" s="15"/>
      <c r="C760" s="15"/>
      <c r="E760" s="15"/>
    </row>
    <row r="761">
      <c r="A761" s="15"/>
      <c r="C761" s="15"/>
      <c r="E761" s="15"/>
    </row>
    <row r="762">
      <c r="A762" s="15"/>
      <c r="C762" s="15"/>
      <c r="E762" s="15"/>
    </row>
    <row r="763">
      <c r="A763" s="15"/>
      <c r="C763" s="15"/>
      <c r="E763" s="15"/>
    </row>
    <row r="764">
      <c r="A764" s="15"/>
      <c r="C764" s="15"/>
      <c r="E764" s="15"/>
    </row>
    <row r="765">
      <c r="A765" s="15"/>
      <c r="C765" s="15"/>
      <c r="E765" s="15"/>
    </row>
    <row r="766">
      <c r="A766" s="15"/>
      <c r="C766" s="15"/>
      <c r="E766" s="15"/>
    </row>
    <row r="767">
      <c r="A767" s="15"/>
      <c r="C767" s="15"/>
      <c r="E767" s="15"/>
    </row>
    <row r="768">
      <c r="A768" s="15"/>
      <c r="C768" s="15"/>
      <c r="E768" s="15"/>
    </row>
    <row r="769">
      <c r="A769" s="15"/>
      <c r="C769" s="15"/>
      <c r="E769" s="15"/>
    </row>
    <row r="770">
      <c r="A770" s="15"/>
      <c r="C770" s="15"/>
      <c r="E770" s="15"/>
    </row>
    <row r="771">
      <c r="A771" s="15"/>
      <c r="C771" s="15"/>
      <c r="E771" s="15"/>
    </row>
    <row r="772">
      <c r="A772" s="15"/>
      <c r="C772" s="15"/>
      <c r="E772" s="15"/>
    </row>
    <row r="773">
      <c r="A773" s="15"/>
      <c r="C773" s="15"/>
      <c r="E773" s="15"/>
    </row>
    <row r="774">
      <c r="A774" s="15"/>
      <c r="C774" s="15"/>
      <c r="E774" s="15"/>
    </row>
    <row r="775">
      <c r="A775" s="15"/>
      <c r="C775" s="15"/>
      <c r="E775" s="15"/>
    </row>
    <row r="776">
      <c r="A776" s="15"/>
      <c r="C776" s="15"/>
      <c r="E776" s="15"/>
    </row>
    <row r="777">
      <c r="A777" s="15"/>
      <c r="C777" s="15"/>
      <c r="E777" s="15"/>
    </row>
    <row r="778">
      <c r="A778" s="15"/>
      <c r="C778" s="15"/>
      <c r="E778" s="15"/>
    </row>
    <row r="779">
      <c r="A779" s="15"/>
      <c r="C779" s="15"/>
      <c r="E779" s="15"/>
    </row>
    <row r="780">
      <c r="A780" s="15"/>
      <c r="C780" s="15"/>
      <c r="E780" s="15"/>
    </row>
    <row r="781">
      <c r="A781" s="15"/>
      <c r="C781" s="15"/>
      <c r="E781" s="15"/>
    </row>
    <row r="782">
      <c r="A782" s="15"/>
      <c r="C782" s="15"/>
      <c r="E782" s="15"/>
    </row>
    <row r="783">
      <c r="A783" s="15"/>
      <c r="C783" s="15"/>
      <c r="E783" s="15"/>
    </row>
    <row r="784">
      <c r="A784" s="15"/>
      <c r="C784" s="15"/>
      <c r="E784" s="15"/>
    </row>
    <row r="785">
      <c r="A785" s="15"/>
      <c r="C785" s="15"/>
      <c r="E785" s="15"/>
    </row>
    <row r="786">
      <c r="A786" s="15"/>
      <c r="C786" s="15"/>
      <c r="E786" s="15"/>
    </row>
    <row r="787">
      <c r="A787" s="15"/>
      <c r="C787" s="15"/>
      <c r="E787" s="15"/>
    </row>
    <row r="788">
      <c r="A788" s="15"/>
      <c r="C788" s="15"/>
      <c r="E788" s="15"/>
    </row>
    <row r="789">
      <c r="A789" s="15"/>
      <c r="C789" s="15"/>
      <c r="E789" s="15"/>
    </row>
    <row r="790">
      <c r="A790" s="15"/>
      <c r="C790" s="15"/>
      <c r="E790" s="15"/>
    </row>
    <row r="791">
      <c r="A791" s="15"/>
      <c r="C791" s="15"/>
      <c r="E791" s="15"/>
    </row>
    <row r="792">
      <c r="A792" s="15"/>
      <c r="C792" s="15"/>
      <c r="E792" s="15"/>
    </row>
    <row r="793">
      <c r="A793" s="15"/>
      <c r="C793" s="15"/>
      <c r="E793" s="15"/>
    </row>
    <row r="794">
      <c r="A794" s="15"/>
      <c r="C794" s="15"/>
      <c r="E794" s="15"/>
    </row>
    <row r="795">
      <c r="A795" s="15"/>
      <c r="C795" s="15"/>
      <c r="E795" s="15"/>
    </row>
    <row r="796">
      <c r="A796" s="15"/>
      <c r="C796" s="15"/>
      <c r="E796" s="15"/>
    </row>
    <row r="797">
      <c r="A797" s="15"/>
      <c r="C797" s="15"/>
      <c r="E797" s="15"/>
    </row>
    <row r="798">
      <c r="A798" s="15"/>
      <c r="C798" s="15"/>
      <c r="E798" s="15"/>
    </row>
    <row r="799">
      <c r="A799" s="15"/>
      <c r="C799" s="15"/>
      <c r="E799" s="15"/>
    </row>
    <row r="800">
      <c r="A800" s="15"/>
      <c r="C800" s="15"/>
      <c r="E800" s="15"/>
    </row>
    <row r="801">
      <c r="A801" s="15"/>
      <c r="C801" s="15"/>
      <c r="E801" s="15"/>
    </row>
    <row r="802">
      <c r="A802" s="15"/>
      <c r="C802" s="15"/>
      <c r="E802" s="15"/>
    </row>
    <row r="803">
      <c r="A803" s="15"/>
      <c r="C803" s="15"/>
      <c r="E803" s="15"/>
    </row>
    <row r="804">
      <c r="A804" s="15"/>
      <c r="C804" s="15"/>
      <c r="E804" s="15"/>
    </row>
    <row r="805">
      <c r="A805" s="15"/>
      <c r="C805" s="15"/>
      <c r="E805" s="15"/>
    </row>
    <row r="806">
      <c r="A806" s="15"/>
      <c r="C806" s="15"/>
      <c r="E806" s="15"/>
    </row>
    <row r="807">
      <c r="A807" s="15"/>
      <c r="C807" s="15"/>
      <c r="E807" s="15"/>
    </row>
    <row r="808">
      <c r="A808" s="15"/>
      <c r="C808" s="15"/>
      <c r="E808" s="15"/>
    </row>
    <row r="809">
      <c r="A809" s="15"/>
      <c r="C809" s="15"/>
      <c r="E809" s="15"/>
    </row>
    <row r="810">
      <c r="A810" s="15"/>
      <c r="C810" s="15"/>
      <c r="E810" s="15"/>
    </row>
    <row r="811">
      <c r="A811" s="15"/>
      <c r="C811" s="15"/>
      <c r="E811" s="15"/>
    </row>
    <row r="812">
      <c r="A812" s="15"/>
      <c r="C812" s="15"/>
      <c r="E812" s="15"/>
    </row>
    <row r="813">
      <c r="A813" s="15"/>
      <c r="C813" s="15"/>
      <c r="E813" s="15"/>
    </row>
    <row r="814">
      <c r="A814" s="15"/>
      <c r="C814" s="15"/>
      <c r="E814" s="15"/>
    </row>
    <row r="815">
      <c r="A815" s="15"/>
      <c r="C815" s="15"/>
      <c r="E815" s="15"/>
    </row>
    <row r="816">
      <c r="A816" s="15"/>
      <c r="C816" s="15"/>
      <c r="E816" s="15"/>
    </row>
    <row r="817">
      <c r="A817" s="15"/>
      <c r="C817" s="15"/>
      <c r="E817" s="15"/>
    </row>
    <row r="818">
      <c r="A818" s="15"/>
      <c r="C818" s="15"/>
      <c r="E818" s="15"/>
    </row>
    <row r="819">
      <c r="A819" s="15"/>
      <c r="C819" s="15"/>
      <c r="E819" s="15"/>
    </row>
    <row r="820">
      <c r="A820" s="15"/>
      <c r="C820" s="15"/>
      <c r="E820" s="15"/>
    </row>
    <row r="821">
      <c r="A821" s="15"/>
      <c r="C821" s="15"/>
      <c r="E821" s="15"/>
    </row>
    <row r="822">
      <c r="A822" s="15"/>
      <c r="C822" s="15"/>
      <c r="E822" s="15"/>
    </row>
    <row r="823">
      <c r="A823" s="15"/>
      <c r="C823" s="15"/>
      <c r="E823" s="15"/>
    </row>
    <row r="824">
      <c r="A824" s="15"/>
      <c r="C824" s="15"/>
      <c r="E824" s="15"/>
    </row>
    <row r="825">
      <c r="A825" s="15"/>
      <c r="C825" s="15"/>
      <c r="E825" s="15"/>
    </row>
    <row r="826">
      <c r="A826" s="15"/>
      <c r="C826" s="15"/>
      <c r="E826" s="15"/>
    </row>
    <row r="827">
      <c r="A827" s="15"/>
      <c r="C827" s="15"/>
      <c r="E827" s="15"/>
    </row>
    <row r="828">
      <c r="A828" s="15"/>
      <c r="C828" s="15"/>
      <c r="E828" s="15"/>
    </row>
    <row r="829">
      <c r="A829" s="15"/>
      <c r="C829" s="15"/>
      <c r="E829" s="15"/>
    </row>
    <row r="830">
      <c r="A830" s="15"/>
      <c r="C830" s="15"/>
      <c r="E830" s="15"/>
    </row>
    <row r="831">
      <c r="A831" s="15"/>
      <c r="C831" s="15"/>
      <c r="E831" s="15"/>
    </row>
    <row r="832">
      <c r="A832" s="15"/>
      <c r="C832" s="15"/>
      <c r="E832" s="15"/>
    </row>
    <row r="833">
      <c r="A833" s="15"/>
      <c r="C833" s="15"/>
      <c r="E833" s="15"/>
    </row>
    <row r="834">
      <c r="A834" s="15"/>
      <c r="C834" s="15"/>
      <c r="E834" s="15"/>
    </row>
    <row r="835">
      <c r="A835" s="15"/>
      <c r="C835" s="15"/>
      <c r="E835" s="15"/>
    </row>
    <row r="836">
      <c r="A836" s="15"/>
      <c r="C836" s="15"/>
      <c r="E836" s="15"/>
    </row>
    <row r="837">
      <c r="A837" s="15"/>
      <c r="C837" s="15"/>
      <c r="E837" s="15"/>
    </row>
    <row r="838">
      <c r="A838" s="15"/>
      <c r="C838" s="15"/>
      <c r="E838" s="15"/>
    </row>
    <row r="839">
      <c r="A839" s="15"/>
      <c r="C839" s="15"/>
      <c r="E839" s="15"/>
    </row>
    <row r="840">
      <c r="A840" s="15"/>
      <c r="C840" s="15"/>
      <c r="E840" s="15"/>
    </row>
    <row r="841">
      <c r="A841" s="15"/>
      <c r="C841" s="15"/>
      <c r="E841" s="15"/>
    </row>
    <row r="842">
      <c r="A842" s="15"/>
      <c r="C842" s="15"/>
      <c r="E842" s="15"/>
    </row>
    <row r="843">
      <c r="A843" s="15"/>
      <c r="C843" s="15"/>
      <c r="E843" s="15"/>
    </row>
    <row r="844">
      <c r="A844" s="15"/>
      <c r="C844" s="15"/>
      <c r="E844" s="15"/>
    </row>
    <row r="845">
      <c r="A845" s="15"/>
      <c r="C845" s="15"/>
      <c r="E845" s="15"/>
    </row>
    <row r="846">
      <c r="A846" s="15"/>
      <c r="C846" s="15"/>
      <c r="E846" s="15"/>
    </row>
    <row r="847">
      <c r="A847" s="15"/>
      <c r="C847" s="15"/>
      <c r="E847" s="15"/>
    </row>
    <row r="848">
      <c r="A848" s="15"/>
      <c r="C848" s="15"/>
      <c r="E848" s="15"/>
    </row>
    <row r="849">
      <c r="A849" s="15"/>
      <c r="C849" s="15"/>
      <c r="E849" s="15"/>
    </row>
    <row r="850">
      <c r="A850" s="15"/>
      <c r="C850" s="15"/>
      <c r="E850" s="15"/>
    </row>
    <row r="851">
      <c r="A851" s="15"/>
      <c r="C851" s="15"/>
      <c r="E851" s="15"/>
    </row>
    <row r="852">
      <c r="A852" s="15"/>
      <c r="C852" s="15"/>
      <c r="E852" s="15"/>
    </row>
    <row r="853">
      <c r="A853" s="15"/>
      <c r="C853" s="15"/>
      <c r="E853" s="15"/>
    </row>
    <row r="854">
      <c r="A854" s="15"/>
      <c r="C854" s="15"/>
      <c r="E854" s="15"/>
    </row>
    <row r="855">
      <c r="A855" s="15"/>
      <c r="C855" s="15"/>
      <c r="E855" s="15"/>
    </row>
    <row r="856">
      <c r="A856" s="15"/>
      <c r="C856" s="15"/>
      <c r="E856" s="15"/>
    </row>
    <row r="857">
      <c r="A857" s="15"/>
      <c r="C857" s="15"/>
      <c r="E857" s="15"/>
    </row>
    <row r="858">
      <c r="A858" s="15"/>
      <c r="C858" s="15"/>
      <c r="E858" s="15"/>
    </row>
    <row r="859">
      <c r="A859" s="15"/>
      <c r="C859" s="15"/>
      <c r="E859" s="15"/>
    </row>
    <row r="860">
      <c r="A860" s="15"/>
      <c r="C860" s="15"/>
      <c r="E860" s="15"/>
    </row>
    <row r="861">
      <c r="A861" s="15"/>
      <c r="C861" s="15"/>
      <c r="E861" s="15"/>
    </row>
    <row r="862">
      <c r="A862" s="15"/>
      <c r="C862" s="15"/>
      <c r="E862" s="15"/>
    </row>
    <row r="863">
      <c r="A863" s="15"/>
      <c r="C863" s="15"/>
      <c r="E863" s="15"/>
    </row>
    <row r="864">
      <c r="A864" s="15"/>
      <c r="C864" s="15"/>
      <c r="E864" s="15"/>
    </row>
    <row r="865">
      <c r="A865" s="15"/>
      <c r="C865" s="15"/>
      <c r="E865" s="15"/>
    </row>
    <row r="866">
      <c r="A866" s="15"/>
      <c r="C866" s="15"/>
      <c r="E866" s="15"/>
    </row>
    <row r="867">
      <c r="A867" s="15"/>
      <c r="C867" s="15"/>
      <c r="E867" s="15"/>
    </row>
    <row r="868">
      <c r="A868" s="15"/>
      <c r="C868" s="15"/>
      <c r="E868" s="15"/>
    </row>
    <row r="869">
      <c r="A869" s="15"/>
      <c r="C869" s="15"/>
      <c r="E869" s="15"/>
    </row>
    <row r="870">
      <c r="A870" s="15"/>
      <c r="C870" s="15"/>
      <c r="E870" s="15"/>
    </row>
    <row r="871">
      <c r="A871" s="15"/>
      <c r="C871" s="15"/>
      <c r="E871" s="15"/>
    </row>
    <row r="872">
      <c r="A872" s="15"/>
      <c r="C872" s="15"/>
      <c r="E872" s="15"/>
    </row>
    <row r="873">
      <c r="A873" s="15"/>
      <c r="C873" s="15"/>
      <c r="E873" s="15"/>
    </row>
    <row r="874">
      <c r="A874" s="15"/>
      <c r="C874" s="15"/>
      <c r="E874" s="15"/>
    </row>
    <row r="875">
      <c r="A875" s="15"/>
      <c r="C875" s="15"/>
      <c r="E875" s="15"/>
    </row>
    <row r="876">
      <c r="A876" s="15"/>
      <c r="C876" s="15"/>
      <c r="E876" s="15"/>
    </row>
    <row r="877">
      <c r="A877" s="15"/>
      <c r="C877" s="15"/>
      <c r="E877" s="15"/>
    </row>
    <row r="878">
      <c r="A878" s="15"/>
      <c r="C878" s="15"/>
      <c r="E878" s="15"/>
    </row>
    <row r="879">
      <c r="A879" s="15"/>
      <c r="C879" s="15"/>
      <c r="E879" s="15"/>
    </row>
    <row r="880">
      <c r="A880" s="15"/>
      <c r="C880" s="15"/>
      <c r="E880" s="15"/>
    </row>
    <row r="881">
      <c r="A881" s="15"/>
      <c r="C881" s="15"/>
      <c r="E881" s="15"/>
    </row>
    <row r="882">
      <c r="A882" s="15"/>
      <c r="C882" s="15"/>
      <c r="E882" s="15"/>
    </row>
    <row r="883">
      <c r="A883" s="15"/>
      <c r="C883" s="15"/>
      <c r="E883" s="15"/>
    </row>
    <row r="884">
      <c r="A884" s="15"/>
      <c r="C884" s="15"/>
      <c r="E884" s="15"/>
    </row>
    <row r="885">
      <c r="A885" s="15"/>
      <c r="C885" s="15"/>
      <c r="E885" s="15"/>
    </row>
    <row r="886">
      <c r="A886" s="15"/>
      <c r="C886" s="15"/>
      <c r="E886" s="15"/>
    </row>
    <row r="887">
      <c r="A887" s="15"/>
      <c r="C887" s="15"/>
      <c r="E887" s="15"/>
    </row>
    <row r="888">
      <c r="A888" s="15"/>
      <c r="C888" s="15"/>
      <c r="E888" s="15"/>
    </row>
    <row r="889">
      <c r="A889" s="15"/>
      <c r="C889" s="15"/>
      <c r="E889" s="15"/>
    </row>
    <row r="890">
      <c r="A890" s="15"/>
      <c r="C890" s="15"/>
      <c r="E890" s="15"/>
    </row>
    <row r="891">
      <c r="A891" s="15"/>
      <c r="C891" s="15"/>
      <c r="E891" s="15"/>
    </row>
    <row r="892">
      <c r="A892" s="15"/>
      <c r="C892" s="15"/>
      <c r="E892" s="15"/>
    </row>
    <row r="893">
      <c r="A893" s="15"/>
      <c r="C893" s="15"/>
      <c r="E893" s="15"/>
    </row>
    <row r="894">
      <c r="A894" s="15"/>
      <c r="C894" s="15"/>
      <c r="E894" s="15"/>
    </row>
    <row r="895">
      <c r="A895" s="15"/>
      <c r="C895" s="15"/>
      <c r="E895" s="15"/>
    </row>
    <row r="896">
      <c r="A896" s="15"/>
      <c r="C896" s="15"/>
      <c r="E896" s="15"/>
    </row>
    <row r="897">
      <c r="A897" s="15"/>
      <c r="C897" s="15"/>
      <c r="E897" s="15"/>
    </row>
    <row r="898">
      <c r="A898" s="15"/>
      <c r="C898" s="15"/>
      <c r="E898" s="15"/>
    </row>
    <row r="899">
      <c r="A899" s="15"/>
      <c r="C899" s="15"/>
      <c r="E899" s="15"/>
    </row>
    <row r="900">
      <c r="A900" s="15"/>
      <c r="C900" s="15"/>
      <c r="E900" s="15"/>
    </row>
    <row r="901">
      <c r="A901" s="15"/>
      <c r="C901" s="15"/>
      <c r="E901" s="15"/>
    </row>
    <row r="902">
      <c r="A902" s="15"/>
      <c r="C902" s="15"/>
      <c r="E902" s="15"/>
    </row>
    <row r="903">
      <c r="A903" s="15"/>
      <c r="C903" s="15"/>
      <c r="E903" s="15"/>
    </row>
    <row r="904">
      <c r="A904" s="15"/>
      <c r="C904" s="15"/>
      <c r="E904" s="15"/>
    </row>
    <row r="905">
      <c r="A905" s="15"/>
      <c r="C905" s="15"/>
      <c r="E905" s="15"/>
    </row>
    <row r="906">
      <c r="A906" s="15"/>
      <c r="C906" s="15"/>
      <c r="E906" s="15"/>
    </row>
    <row r="907">
      <c r="A907" s="15"/>
      <c r="C907" s="15"/>
      <c r="E907" s="15"/>
    </row>
    <row r="908">
      <c r="A908" s="15"/>
      <c r="C908" s="15"/>
      <c r="E908" s="15"/>
    </row>
    <row r="909">
      <c r="A909" s="15"/>
      <c r="C909" s="15"/>
      <c r="E909" s="15"/>
    </row>
    <row r="910">
      <c r="A910" s="15"/>
      <c r="C910" s="15"/>
      <c r="E910" s="15"/>
    </row>
    <row r="911">
      <c r="A911" s="15"/>
      <c r="C911" s="15"/>
      <c r="E911" s="15"/>
    </row>
    <row r="912">
      <c r="A912" s="15"/>
      <c r="C912" s="15"/>
      <c r="E912" s="15"/>
    </row>
    <row r="913">
      <c r="A913" s="15"/>
      <c r="C913" s="15"/>
      <c r="E913" s="15"/>
    </row>
    <row r="914">
      <c r="A914" s="15"/>
      <c r="C914" s="15"/>
      <c r="E914" s="15"/>
    </row>
    <row r="915">
      <c r="A915" s="15"/>
      <c r="C915" s="15"/>
      <c r="E915" s="15"/>
    </row>
    <row r="916">
      <c r="A916" s="15"/>
      <c r="C916" s="15"/>
      <c r="E916" s="15"/>
    </row>
    <row r="917">
      <c r="A917" s="15"/>
      <c r="C917" s="15"/>
      <c r="E917" s="15"/>
    </row>
    <row r="918">
      <c r="A918" s="15"/>
      <c r="C918" s="15"/>
      <c r="E918" s="15"/>
    </row>
    <row r="919">
      <c r="A919" s="15"/>
      <c r="C919" s="15"/>
      <c r="E919" s="15"/>
    </row>
    <row r="920">
      <c r="A920" s="15"/>
      <c r="C920" s="15"/>
      <c r="E920" s="15"/>
    </row>
    <row r="921">
      <c r="A921" s="15"/>
      <c r="C921" s="15"/>
      <c r="E921" s="15"/>
    </row>
    <row r="922">
      <c r="A922" s="15"/>
      <c r="C922" s="15"/>
      <c r="E922" s="15"/>
    </row>
    <row r="923">
      <c r="A923" s="15"/>
      <c r="C923" s="15"/>
      <c r="E923" s="15"/>
    </row>
    <row r="924">
      <c r="A924" s="15"/>
      <c r="C924" s="15"/>
      <c r="E924" s="15"/>
    </row>
    <row r="925">
      <c r="A925" s="15"/>
      <c r="C925" s="15"/>
      <c r="E925" s="15"/>
    </row>
    <row r="926">
      <c r="A926" s="15"/>
      <c r="C926" s="15"/>
      <c r="E926" s="15"/>
    </row>
    <row r="927">
      <c r="A927" s="15"/>
      <c r="C927" s="15"/>
      <c r="E927" s="15"/>
    </row>
    <row r="928">
      <c r="A928" s="15"/>
      <c r="C928" s="15"/>
      <c r="E928" s="15"/>
    </row>
    <row r="929">
      <c r="A929" s="15"/>
      <c r="C929" s="15"/>
      <c r="E929" s="15"/>
    </row>
    <row r="930">
      <c r="A930" s="15"/>
      <c r="C930" s="15"/>
      <c r="E930" s="15"/>
    </row>
    <row r="931">
      <c r="A931" s="15"/>
      <c r="C931" s="15"/>
      <c r="E931" s="15"/>
    </row>
    <row r="932">
      <c r="A932" s="15"/>
      <c r="C932" s="15"/>
      <c r="E932" s="15"/>
    </row>
    <row r="933">
      <c r="A933" s="15"/>
      <c r="C933" s="15"/>
      <c r="E933" s="15"/>
    </row>
    <row r="934">
      <c r="A934" s="15"/>
      <c r="C934" s="15"/>
      <c r="E934" s="15"/>
    </row>
    <row r="935">
      <c r="A935" s="15"/>
      <c r="C935" s="15"/>
      <c r="E935" s="15"/>
    </row>
    <row r="936">
      <c r="A936" s="15"/>
      <c r="C936" s="15"/>
      <c r="E936" s="15"/>
    </row>
    <row r="937">
      <c r="A937" s="15"/>
      <c r="C937" s="15"/>
      <c r="E937" s="15"/>
    </row>
    <row r="938">
      <c r="A938" s="15"/>
      <c r="C938" s="15"/>
      <c r="E938" s="15"/>
    </row>
    <row r="939">
      <c r="A939" s="15"/>
      <c r="C939" s="15"/>
      <c r="E939" s="15"/>
    </row>
    <row r="940">
      <c r="A940" s="15"/>
      <c r="C940" s="15"/>
      <c r="E940" s="15"/>
    </row>
    <row r="941">
      <c r="A941" s="15"/>
      <c r="C941" s="15"/>
      <c r="E941" s="15"/>
    </row>
    <row r="942">
      <c r="A942" s="15"/>
      <c r="C942" s="15"/>
      <c r="E942" s="15"/>
    </row>
    <row r="943">
      <c r="A943" s="15"/>
      <c r="C943" s="15"/>
      <c r="E943" s="15"/>
    </row>
    <row r="944">
      <c r="A944" s="15"/>
      <c r="C944" s="15"/>
      <c r="E944" s="15"/>
    </row>
    <row r="945">
      <c r="A945" s="15"/>
      <c r="C945" s="15"/>
      <c r="E945" s="15"/>
    </row>
    <row r="946">
      <c r="A946" s="15"/>
      <c r="C946" s="15"/>
      <c r="E946" s="15"/>
    </row>
    <row r="947">
      <c r="A947" s="15"/>
      <c r="C947" s="15"/>
      <c r="E947" s="15"/>
    </row>
    <row r="948">
      <c r="A948" s="15"/>
      <c r="C948" s="15"/>
      <c r="E948" s="15"/>
    </row>
    <row r="949">
      <c r="A949" s="15"/>
      <c r="C949" s="15"/>
      <c r="E949" s="15"/>
    </row>
    <row r="950">
      <c r="A950" s="15"/>
      <c r="C950" s="15"/>
      <c r="E950" s="15"/>
    </row>
    <row r="951">
      <c r="A951" s="15"/>
      <c r="C951" s="15"/>
      <c r="E951" s="15"/>
    </row>
    <row r="952">
      <c r="A952" s="15"/>
      <c r="C952" s="15"/>
      <c r="E952" s="15"/>
    </row>
    <row r="953">
      <c r="A953" s="15"/>
      <c r="C953" s="15"/>
      <c r="E953" s="15"/>
    </row>
    <row r="954">
      <c r="A954" s="15"/>
      <c r="C954" s="15"/>
      <c r="E954" s="15"/>
    </row>
    <row r="955">
      <c r="A955" s="15"/>
      <c r="C955" s="15"/>
      <c r="E955" s="15"/>
    </row>
    <row r="956">
      <c r="A956" s="15"/>
      <c r="C956" s="15"/>
      <c r="E956" s="15"/>
    </row>
    <row r="957">
      <c r="A957" s="15"/>
      <c r="C957" s="15"/>
      <c r="E957" s="15"/>
    </row>
    <row r="958">
      <c r="A958" s="15"/>
      <c r="C958" s="15"/>
      <c r="E958" s="15"/>
    </row>
    <row r="959">
      <c r="A959" s="15"/>
      <c r="C959" s="15"/>
      <c r="E959" s="15"/>
    </row>
    <row r="960">
      <c r="A960" s="15"/>
      <c r="C960" s="15"/>
      <c r="E960" s="15"/>
    </row>
    <row r="961">
      <c r="A961" s="15"/>
      <c r="C961" s="15"/>
      <c r="E961" s="15"/>
    </row>
    <row r="962">
      <c r="A962" s="15"/>
      <c r="C962" s="15"/>
      <c r="E962" s="15"/>
    </row>
    <row r="963">
      <c r="A963" s="15"/>
      <c r="C963" s="15"/>
      <c r="E963" s="15"/>
    </row>
    <row r="964">
      <c r="A964" s="15"/>
      <c r="C964" s="15"/>
      <c r="E964" s="15"/>
    </row>
    <row r="965">
      <c r="A965" s="15"/>
      <c r="C965" s="15"/>
      <c r="E965" s="15"/>
    </row>
    <row r="966">
      <c r="A966" s="15"/>
      <c r="C966" s="15"/>
      <c r="E966" s="15"/>
    </row>
    <row r="967">
      <c r="A967" s="15"/>
      <c r="C967" s="15"/>
      <c r="E967" s="15"/>
    </row>
    <row r="968">
      <c r="A968" s="15"/>
      <c r="C968" s="15"/>
      <c r="E968" s="15"/>
    </row>
    <row r="969">
      <c r="A969" s="15"/>
      <c r="C969" s="15"/>
      <c r="E969" s="15"/>
    </row>
    <row r="970">
      <c r="A970" s="15"/>
      <c r="C970" s="15"/>
      <c r="E970" s="15"/>
    </row>
    <row r="971">
      <c r="A971" s="15"/>
      <c r="C971" s="15"/>
      <c r="E971" s="15"/>
    </row>
    <row r="972">
      <c r="A972" s="15"/>
      <c r="C972" s="15"/>
      <c r="E972" s="15"/>
    </row>
    <row r="973">
      <c r="A973" s="15"/>
      <c r="C973" s="15"/>
      <c r="E973" s="15"/>
    </row>
    <row r="974">
      <c r="A974" s="15"/>
      <c r="C974" s="15"/>
      <c r="E974" s="15"/>
    </row>
    <row r="975">
      <c r="A975" s="15"/>
      <c r="C975" s="15"/>
      <c r="E975" s="15"/>
    </row>
    <row r="976">
      <c r="A976" s="15"/>
      <c r="C976" s="15"/>
      <c r="E976" s="15"/>
    </row>
    <row r="977">
      <c r="A977" s="15"/>
      <c r="C977" s="15"/>
      <c r="E977" s="15"/>
    </row>
    <row r="978">
      <c r="A978" s="15"/>
      <c r="C978" s="15"/>
      <c r="E978" s="15"/>
    </row>
    <row r="979">
      <c r="A979" s="15"/>
      <c r="C979" s="15"/>
      <c r="E979" s="15"/>
    </row>
    <row r="980">
      <c r="A980" s="15"/>
      <c r="C980" s="15"/>
      <c r="E980" s="15"/>
    </row>
  </sheetData>
  <autoFilter ref="$A$1:$AB$9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75"/>
    <col customWidth="1" min="3" max="3" width="41.38"/>
    <col customWidth="1" min="4" max="4" width="16.13"/>
    <col customWidth="1" min="5" max="5" width="20.75"/>
    <col customWidth="1" min="6" max="6" width="13.63"/>
    <col customWidth="1" min="7" max="7" width="21.5"/>
    <col customWidth="1" min="8" max="8" width="52.88"/>
    <col customWidth="1" min="9" max="9" width="21.13"/>
    <col customWidth="1" min="13" max="13" width="26.75"/>
  </cols>
  <sheetData>
    <row r="1">
      <c r="A1" s="16" t="s">
        <v>48</v>
      </c>
      <c r="B1" s="17" t="s">
        <v>3</v>
      </c>
      <c r="C1" s="17" t="s">
        <v>49</v>
      </c>
      <c r="D1" s="16" t="s">
        <v>2</v>
      </c>
      <c r="E1" s="18" t="s">
        <v>5</v>
      </c>
      <c r="F1" s="19" t="s">
        <v>6</v>
      </c>
      <c r="G1" s="18" t="s">
        <v>50</v>
      </c>
      <c r="H1" s="18" t="s">
        <v>51</v>
      </c>
      <c r="I1" s="18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20">
        <v>46146.0</v>
      </c>
      <c r="B2" s="17" t="s">
        <v>52</v>
      </c>
      <c r="C2" s="16" t="s">
        <v>53</v>
      </c>
      <c r="D2" s="20">
        <v>22514.0</v>
      </c>
      <c r="E2" s="18" t="s">
        <v>54</v>
      </c>
      <c r="F2" s="18" t="s">
        <v>55</v>
      </c>
      <c r="G2" s="19"/>
      <c r="H2" s="19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20">
        <v>46146.0</v>
      </c>
      <c r="B3" s="17" t="s">
        <v>52</v>
      </c>
      <c r="C3" s="16" t="s">
        <v>56</v>
      </c>
      <c r="D3" s="20">
        <v>24691.0</v>
      </c>
      <c r="E3" s="18" t="s">
        <v>54</v>
      </c>
      <c r="F3" s="18" t="s">
        <v>55</v>
      </c>
      <c r="G3" s="19"/>
      <c r="H3" s="19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20">
        <v>46146.0</v>
      </c>
      <c r="B4" s="17" t="s">
        <v>52</v>
      </c>
      <c r="C4" s="16" t="s">
        <v>57</v>
      </c>
      <c r="D4" s="20">
        <v>38213.0</v>
      </c>
      <c r="E4" s="18" t="s">
        <v>54</v>
      </c>
      <c r="F4" s="18" t="s">
        <v>55</v>
      </c>
      <c r="G4" s="19"/>
      <c r="H4" s="19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20">
        <v>46146.0</v>
      </c>
      <c r="B5" s="17" t="s">
        <v>52</v>
      </c>
      <c r="C5" s="16" t="s">
        <v>58</v>
      </c>
      <c r="D5" s="20">
        <v>27993.0</v>
      </c>
      <c r="E5" s="18" t="s">
        <v>54</v>
      </c>
      <c r="F5" s="18" t="s">
        <v>55</v>
      </c>
      <c r="G5" s="19"/>
      <c r="H5" s="19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20">
        <v>46146.0</v>
      </c>
      <c r="B6" s="17" t="s">
        <v>52</v>
      </c>
      <c r="C6" s="16" t="s">
        <v>59</v>
      </c>
      <c r="D6" s="20">
        <v>35345.0</v>
      </c>
      <c r="E6" s="18" t="s">
        <v>54</v>
      </c>
      <c r="F6" s="18" t="s">
        <v>55</v>
      </c>
      <c r="G6" s="19"/>
      <c r="H6" s="19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20">
        <v>46146.0</v>
      </c>
      <c r="B7" s="17" t="s">
        <v>52</v>
      </c>
      <c r="C7" s="16" t="s">
        <v>60</v>
      </c>
      <c r="D7" s="21">
        <v>27542.0</v>
      </c>
      <c r="E7" s="18" t="s">
        <v>54</v>
      </c>
      <c r="F7" s="18" t="s">
        <v>55</v>
      </c>
      <c r="G7" s="19"/>
      <c r="H7" s="19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20">
        <v>46146.0</v>
      </c>
      <c r="B8" s="17" t="s">
        <v>52</v>
      </c>
      <c r="C8" s="16" t="s">
        <v>61</v>
      </c>
      <c r="D8" s="20">
        <v>21896.0</v>
      </c>
      <c r="E8" s="18" t="s">
        <v>54</v>
      </c>
      <c r="F8" s="18" t="s">
        <v>55</v>
      </c>
      <c r="G8" s="19"/>
      <c r="H8" s="19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20">
        <v>46146.0</v>
      </c>
      <c r="B9" s="17" t="s">
        <v>52</v>
      </c>
      <c r="C9" s="16" t="s">
        <v>62</v>
      </c>
      <c r="D9" s="20">
        <v>34944.0</v>
      </c>
      <c r="E9" s="18" t="s">
        <v>54</v>
      </c>
      <c r="F9" s="18" t="s">
        <v>55</v>
      </c>
      <c r="G9" s="19"/>
      <c r="H9" s="19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20">
        <v>46146.0</v>
      </c>
      <c r="B10" s="17" t="s">
        <v>52</v>
      </c>
      <c r="C10" s="16" t="s">
        <v>63</v>
      </c>
      <c r="D10" s="20">
        <v>30087.0</v>
      </c>
      <c r="E10" s="18" t="s">
        <v>54</v>
      </c>
      <c r="F10" s="18" t="s">
        <v>55</v>
      </c>
      <c r="G10" s="19"/>
      <c r="H10" s="19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20">
        <v>46146.0</v>
      </c>
      <c r="B11" s="17" t="s">
        <v>52</v>
      </c>
      <c r="C11" s="16" t="s">
        <v>64</v>
      </c>
      <c r="D11" s="20">
        <v>34287.0</v>
      </c>
      <c r="E11" s="18" t="s">
        <v>54</v>
      </c>
      <c r="F11" s="18" t="s">
        <v>55</v>
      </c>
      <c r="G11" s="19"/>
      <c r="H11" s="19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20">
        <v>46146.0</v>
      </c>
      <c r="B12" s="17" t="s">
        <v>52</v>
      </c>
      <c r="C12" s="16" t="s">
        <v>65</v>
      </c>
      <c r="D12" s="20">
        <v>29015.0</v>
      </c>
      <c r="E12" s="18" t="s">
        <v>54</v>
      </c>
      <c r="F12" s="18" t="s">
        <v>55</v>
      </c>
      <c r="G12" s="19"/>
      <c r="H12" s="19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20">
        <v>46146.0</v>
      </c>
      <c r="B13" s="17" t="s">
        <v>52</v>
      </c>
      <c r="C13" s="16" t="s">
        <v>66</v>
      </c>
      <c r="D13" s="20">
        <v>37021.0</v>
      </c>
      <c r="E13" s="18" t="s">
        <v>54</v>
      </c>
      <c r="F13" s="18" t="s">
        <v>55</v>
      </c>
      <c r="G13" s="19"/>
      <c r="H13" s="19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20">
        <v>46146.0</v>
      </c>
      <c r="B14" s="17" t="s">
        <v>52</v>
      </c>
      <c r="C14" s="16" t="s">
        <v>67</v>
      </c>
      <c r="D14" s="20">
        <v>21046.0</v>
      </c>
      <c r="E14" s="18" t="s">
        <v>54</v>
      </c>
      <c r="F14" s="18" t="s">
        <v>55</v>
      </c>
      <c r="G14" s="19"/>
      <c r="H14" s="19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20">
        <v>46146.0</v>
      </c>
      <c r="B15" s="17" t="s">
        <v>52</v>
      </c>
      <c r="C15" s="16" t="s">
        <v>68</v>
      </c>
      <c r="D15" s="20">
        <v>24903.0</v>
      </c>
      <c r="E15" s="18" t="s">
        <v>54</v>
      </c>
      <c r="F15" s="18" t="s">
        <v>55</v>
      </c>
      <c r="G15" s="19"/>
      <c r="H15" s="19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20">
        <v>46146.0</v>
      </c>
      <c r="B16" s="17" t="s">
        <v>52</v>
      </c>
      <c r="C16" s="16" t="s">
        <v>69</v>
      </c>
      <c r="D16" s="20">
        <v>32155.0</v>
      </c>
      <c r="E16" s="18" t="s">
        <v>54</v>
      </c>
      <c r="F16" s="18" t="s">
        <v>55</v>
      </c>
      <c r="G16" s="19"/>
      <c r="H16" s="19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20">
        <v>46146.0</v>
      </c>
      <c r="B17" s="17" t="s">
        <v>52</v>
      </c>
      <c r="C17" s="16" t="s">
        <v>70</v>
      </c>
      <c r="D17" s="20">
        <v>31418.0</v>
      </c>
      <c r="E17" s="18" t="s">
        <v>54</v>
      </c>
      <c r="F17" s="18" t="s">
        <v>55</v>
      </c>
      <c r="G17" s="19"/>
      <c r="H17" s="19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20">
        <v>46146.0</v>
      </c>
      <c r="B18" s="17" t="s">
        <v>52</v>
      </c>
      <c r="C18" s="16" t="s">
        <v>71</v>
      </c>
      <c r="D18" s="20">
        <v>36298.0</v>
      </c>
      <c r="E18" s="18" t="s">
        <v>54</v>
      </c>
      <c r="F18" s="18" t="s">
        <v>55</v>
      </c>
      <c r="G18" s="19"/>
      <c r="H18" s="19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20">
        <v>46146.0</v>
      </c>
      <c r="B19" s="17" t="s">
        <v>52</v>
      </c>
      <c r="C19" s="16" t="s">
        <v>72</v>
      </c>
      <c r="D19" s="20">
        <v>37311.0</v>
      </c>
      <c r="E19" s="18" t="s">
        <v>54</v>
      </c>
      <c r="F19" s="18" t="s">
        <v>55</v>
      </c>
      <c r="G19" s="19"/>
      <c r="H19" s="19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20">
        <v>46146.0</v>
      </c>
      <c r="B20" s="17" t="s">
        <v>52</v>
      </c>
      <c r="C20" s="16" t="s">
        <v>73</v>
      </c>
      <c r="D20" s="20">
        <v>37082.0</v>
      </c>
      <c r="E20" s="18" t="s">
        <v>74</v>
      </c>
      <c r="F20" s="18" t="s">
        <v>55</v>
      </c>
      <c r="G20" s="19"/>
      <c r="H20" s="19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20">
        <v>46146.0</v>
      </c>
      <c r="B21" s="17" t="s">
        <v>52</v>
      </c>
      <c r="C21" s="16" t="s">
        <v>75</v>
      </c>
      <c r="D21" s="21">
        <v>26930.0</v>
      </c>
      <c r="E21" s="18" t="s">
        <v>74</v>
      </c>
      <c r="F21" s="18" t="s">
        <v>55</v>
      </c>
      <c r="G21" s="18"/>
      <c r="H21" s="18" t="s">
        <v>76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20">
        <v>46146.0</v>
      </c>
      <c r="B22" s="17" t="s">
        <v>52</v>
      </c>
      <c r="C22" s="16" t="s">
        <v>77</v>
      </c>
      <c r="D22" s="20">
        <v>29294.0</v>
      </c>
      <c r="E22" s="18" t="s">
        <v>74</v>
      </c>
      <c r="F22" s="18" t="s">
        <v>55</v>
      </c>
      <c r="G22" s="19"/>
      <c r="H22" s="19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20">
        <v>46146.0</v>
      </c>
      <c r="B23" s="17" t="s">
        <v>52</v>
      </c>
      <c r="C23" s="16" t="s">
        <v>78</v>
      </c>
      <c r="D23" s="21">
        <v>35969.0</v>
      </c>
      <c r="E23" s="18" t="s">
        <v>74</v>
      </c>
      <c r="F23" s="18" t="s">
        <v>55</v>
      </c>
      <c r="G23" s="19"/>
      <c r="H23" s="19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20">
        <v>46146.0</v>
      </c>
      <c r="B24" s="17" t="s">
        <v>52</v>
      </c>
      <c r="C24" s="16" t="s">
        <v>79</v>
      </c>
      <c r="D24" s="21">
        <v>35700.0</v>
      </c>
      <c r="E24" s="18" t="s">
        <v>74</v>
      </c>
      <c r="F24" s="18" t="s">
        <v>55</v>
      </c>
      <c r="G24" s="19"/>
      <c r="H24" s="19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20">
        <v>46146.0</v>
      </c>
      <c r="B25" s="17" t="s">
        <v>52</v>
      </c>
      <c r="C25" s="16" t="s">
        <v>80</v>
      </c>
      <c r="D25" s="21">
        <v>28699.0</v>
      </c>
      <c r="E25" s="18" t="s">
        <v>81</v>
      </c>
      <c r="F25" s="18" t="s">
        <v>55</v>
      </c>
      <c r="G25" s="19"/>
      <c r="H25" s="19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20">
        <v>46146.0</v>
      </c>
      <c r="B26" s="17" t="s">
        <v>52</v>
      </c>
      <c r="C26" s="16" t="s">
        <v>82</v>
      </c>
      <c r="D26" s="21">
        <v>29032.0</v>
      </c>
      <c r="E26" s="18" t="s">
        <v>81</v>
      </c>
      <c r="F26" s="18" t="s">
        <v>55</v>
      </c>
      <c r="G26" s="19"/>
      <c r="H26" s="19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20">
        <v>46146.0</v>
      </c>
      <c r="B27" s="17" t="s">
        <v>52</v>
      </c>
      <c r="C27" s="16" t="s">
        <v>83</v>
      </c>
      <c r="D27" s="21">
        <v>35228.0</v>
      </c>
      <c r="E27" s="18" t="s">
        <v>81</v>
      </c>
      <c r="F27" s="18" t="s">
        <v>55</v>
      </c>
      <c r="G27" s="19"/>
      <c r="H27" s="19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20">
        <v>46146.0</v>
      </c>
      <c r="B28" s="17" t="s">
        <v>52</v>
      </c>
      <c r="C28" s="16" t="s">
        <v>84</v>
      </c>
      <c r="D28" s="21">
        <v>23448.0</v>
      </c>
      <c r="E28" s="18" t="s">
        <v>81</v>
      </c>
      <c r="F28" s="18" t="s">
        <v>55</v>
      </c>
      <c r="G28" s="19"/>
      <c r="H28" s="19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20">
        <v>46146.0</v>
      </c>
      <c r="B29" s="17" t="s">
        <v>52</v>
      </c>
      <c r="C29" s="16" t="s">
        <v>85</v>
      </c>
      <c r="D29" s="21">
        <v>29853.0</v>
      </c>
      <c r="E29" s="18" t="s">
        <v>86</v>
      </c>
      <c r="F29" s="18" t="s">
        <v>55</v>
      </c>
      <c r="G29" s="19"/>
      <c r="H29" s="19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20">
        <v>46147.0</v>
      </c>
      <c r="B30" s="17" t="s">
        <v>52</v>
      </c>
      <c r="C30" s="16" t="s">
        <v>87</v>
      </c>
      <c r="D30" s="21">
        <v>37706.0</v>
      </c>
      <c r="E30" s="18" t="s">
        <v>54</v>
      </c>
      <c r="F30" s="18" t="s">
        <v>55</v>
      </c>
      <c r="G30" s="19"/>
      <c r="H30" s="19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20">
        <v>46147.0</v>
      </c>
      <c r="B31" s="17" t="s">
        <v>52</v>
      </c>
      <c r="C31" s="16" t="s">
        <v>88</v>
      </c>
      <c r="D31" s="21">
        <v>27814.0</v>
      </c>
      <c r="E31" s="18" t="s">
        <v>54</v>
      </c>
      <c r="F31" s="18" t="s">
        <v>55</v>
      </c>
      <c r="G31" s="19"/>
      <c r="H31" s="19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20">
        <v>46147.0</v>
      </c>
      <c r="B32" s="17" t="s">
        <v>52</v>
      </c>
      <c r="C32" s="16" t="s">
        <v>89</v>
      </c>
      <c r="D32" s="21">
        <v>31674.0</v>
      </c>
      <c r="E32" s="18" t="s">
        <v>54</v>
      </c>
      <c r="F32" s="18" t="s">
        <v>55</v>
      </c>
      <c r="G32" s="19"/>
      <c r="H32" s="19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20">
        <v>46147.0</v>
      </c>
      <c r="B33" s="17" t="s">
        <v>52</v>
      </c>
      <c r="C33" s="16" t="s">
        <v>90</v>
      </c>
      <c r="D33" s="21">
        <v>31481.0</v>
      </c>
      <c r="E33" s="18" t="s">
        <v>54</v>
      </c>
      <c r="F33" s="18" t="s">
        <v>55</v>
      </c>
      <c r="G33" s="19"/>
      <c r="H33" s="19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20">
        <v>46147.0</v>
      </c>
      <c r="B34" s="17" t="s">
        <v>52</v>
      </c>
      <c r="C34" s="16" t="s">
        <v>91</v>
      </c>
      <c r="D34" s="21">
        <v>31104.0</v>
      </c>
      <c r="E34" s="18" t="s">
        <v>54</v>
      </c>
      <c r="F34" s="18" t="s">
        <v>55</v>
      </c>
      <c r="G34" s="19"/>
      <c r="H34" s="19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20">
        <v>46147.0</v>
      </c>
      <c r="B35" s="17" t="s">
        <v>52</v>
      </c>
      <c r="C35" s="16" t="s">
        <v>92</v>
      </c>
      <c r="D35" s="21">
        <v>32415.0</v>
      </c>
      <c r="E35" s="18" t="s">
        <v>54</v>
      </c>
      <c r="F35" s="18" t="s">
        <v>55</v>
      </c>
      <c r="G35" s="19"/>
      <c r="H35" s="19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20">
        <v>46147.0</v>
      </c>
      <c r="B36" s="17" t="s">
        <v>52</v>
      </c>
      <c r="C36" s="16" t="s">
        <v>93</v>
      </c>
      <c r="D36" s="21">
        <v>25091.0</v>
      </c>
      <c r="E36" s="18" t="s">
        <v>54</v>
      </c>
      <c r="F36" s="18" t="s">
        <v>55</v>
      </c>
      <c r="G36" s="19"/>
      <c r="H36" s="19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20">
        <v>46147.0</v>
      </c>
      <c r="B37" s="17" t="s">
        <v>52</v>
      </c>
      <c r="C37" s="16" t="s">
        <v>94</v>
      </c>
      <c r="D37" s="21">
        <v>33467.0</v>
      </c>
      <c r="E37" s="18" t="s">
        <v>54</v>
      </c>
      <c r="F37" s="18" t="s">
        <v>55</v>
      </c>
      <c r="G37" s="19"/>
      <c r="H37" s="19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20">
        <v>46147.0</v>
      </c>
      <c r="B38" s="17" t="s">
        <v>52</v>
      </c>
      <c r="C38" s="16" t="s">
        <v>95</v>
      </c>
      <c r="D38" s="21">
        <v>32205.0</v>
      </c>
      <c r="E38" s="18" t="s">
        <v>54</v>
      </c>
      <c r="F38" s="18" t="s">
        <v>55</v>
      </c>
      <c r="G38" s="19"/>
      <c r="H38" s="19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20">
        <v>46147.0</v>
      </c>
      <c r="B39" s="17" t="s">
        <v>52</v>
      </c>
      <c r="C39" s="16" t="s">
        <v>96</v>
      </c>
      <c r="D39" s="21">
        <v>27489.0</v>
      </c>
      <c r="E39" s="18" t="s">
        <v>54</v>
      </c>
      <c r="F39" s="18" t="s">
        <v>55</v>
      </c>
      <c r="G39" s="19"/>
      <c r="H39" s="19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20">
        <v>46147.0</v>
      </c>
      <c r="B40" s="17" t="s">
        <v>52</v>
      </c>
      <c r="C40" s="16" t="s">
        <v>97</v>
      </c>
      <c r="D40" s="21">
        <v>38185.0</v>
      </c>
      <c r="E40" s="18" t="s">
        <v>54</v>
      </c>
      <c r="F40" s="18" t="s">
        <v>55</v>
      </c>
      <c r="G40" s="19"/>
      <c r="H40" s="19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20">
        <v>46147.0</v>
      </c>
      <c r="B41" s="17" t="s">
        <v>52</v>
      </c>
      <c r="C41" s="16" t="s">
        <v>98</v>
      </c>
      <c r="D41" s="21">
        <v>32000.0</v>
      </c>
      <c r="E41" s="18" t="s">
        <v>54</v>
      </c>
      <c r="F41" s="18" t="s">
        <v>55</v>
      </c>
      <c r="G41" s="19"/>
      <c r="H41" s="19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20">
        <v>46147.0</v>
      </c>
      <c r="B42" s="17" t="s">
        <v>52</v>
      </c>
      <c r="C42" s="16" t="s">
        <v>99</v>
      </c>
      <c r="D42" s="21">
        <v>31406.0</v>
      </c>
      <c r="E42" s="18" t="s">
        <v>54</v>
      </c>
      <c r="F42" s="18" t="s">
        <v>55</v>
      </c>
      <c r="G42" s="19"/>
      <c r="H42" s="19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20">
        <v>46147.0</v>
      </c>
      <c r="B43" s="17" t="s">
        <v>52</v>
      </c>
      <c r="C43" s="16" t="s">
        <v>100</v>
      </c>
      <c r="D43" s="21">
        <v>30491.0</v>
      </c>
      <c r="E43" s="18" t="s">
        <v>54</v>
      </c>
      <c r="F43" s="18" t="s">
        <v>55</v>
      </c>
      <c r="G43" s="19"/>
      <c r="H43" s="19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20">
        <v>46147.0</v>
      </c>
      <c r="B44" s="17" t="s">
        <v>52</v>
      </c>
      <c r="C44" s="16" t="s">
        <v>101</v>
      </c>
      <c r="D44" s="21">
        <v>31027.0</v>
      </c>
      <c r="E44" s="18" t="s">
        <v>54</v>
      </c>
      <c r="F44" s="18" t="s">
        <v>55</v>
      </c>
      <c r="G44" s="19"/>
      <c r="H44" s="19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20">
        <v>46147.0</v>
      </c>
      <c r="B45" s="16" t="s">
        <v>102</v>
      </c>
      <c r="C45" s="16" t="s">
        <v>103</v>
      </c>
      <c r="D45" s="21">
        <v>23363.0</v>
      </c>
      <c r="E45" s="18" t="s">
        <v>54</v>
      </c>
      <c r="F45" s="18" t="s">
        <v>55</v>
      </c>
      <c r="G45" s="19"/>
      <c r="H45" s="19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20">
        <v>46147.0</v>
      </c>
      <c r="B46" s="16" t="s">
        <v>102</v>
      </c>
      <c r="C46" s="16" t="s">
        <v>104</v>
      </c>
      <c r="D46" s="21">
        <v>36889.0</v>
      </c>
      <c r="E46" s="18" t="s">
        <v>74</v>
      </c>
      <c r="F46" s="18" t="s">
        <v>55</v>
      </c>
      <c r="G46" s="19"/>
      <c r="H46" s="19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20">
        <v>46147.0</v>
      </c>
      <c r="B47" s="16" t="s">
        <v>102</v>
      </c>
      <c r="C47" s="16" t="s">
        <v>105</v>
      </c>
      <c r="D47" s="21">
        <v>23784.0</v>
      </c>
      <c r="E47" s="18" t="s">
        <v>74</v>
      </c>
      <c r="F47" s="18" t="s">
        <v>55</v>
      </c>
      <c r="G47" s="19"/>
      <c r="H47" s="19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20">
        <v>46147.0</v>
      </c>
      <c r="B48" s="16" t="s">
        <v>102</v>
      </c>
      <c r="C48" s="16" t="s">
        <v>106</v>
      </c>
      <c r="D48" s="21">
        <v>27753.0</v>
      </c>
      <c r="E48" s="18" t="s">
        <v>74</v>
      </c>
      <c r="F48" s="18" t="s">
        <v>55</v>
      </c>
      <c r="G48" s="18"/>
      <c r="H48" s="18" t="s">
        <v>107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20">
        <v>46147.0</v>
      </c>
      <c r="B49" s="16" t="s">
        <v>102</v>
      </c>
      <c r="C49" s="16" t="s">
        <v>108</v>
      </c>
      <c r="D49" s="21">
        <v>24140.0</v>
      </c>
      <c r="E49" s="18" t="s">
        <v>74</v>
      </c>
      <c r="F49" s="18" t="s">
        <v>55</v>
      </c>
      <c r="G49" s="19"/>
      <c r="H49" s="19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20">
        <v>46147.0</v>
      </c>
      <c r="B50" s="16" t="s">
        <v>102</v>
      </c>
      <c r="C50" s="16" t="s">
        <v>109</v>
      </c>
      <c r="D50" s="21">
        <v>24783.0</v>
      </c>
      <c r="E50" s="18" t="s">
        <v>74</v>
      </c>
      <c r="F50" s="18" t="s">
        <v>55</v>
      </c>
      <c r="G50" s="19"/>
      <c r="H50" s="19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20">
        <v>46147.0</v>
      </c>
      <c r="B51" s="16" t="s">
        <v>102</v>
      </c>
      <c r="C51" s="16" t="s">
        <v>110</v>
      </c>
      <c r="D51" s="21">
        <v>30254.0</v>
      </c>
      <c r="E51" s="18" t="s">
        <v>74</v>
      </c>
      <c r="F51" s="18" t="s">
        <v>55</v>
      </c>
      <c r="G51" s="19"/>
      <c r="H51" s="19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20">
        <v>46147.0</v>
      </c>
      <c r="B52" s="16" t="s">
        <v>102</v>
      </c>
      <c r="C52" s="16" t="s">
        <v>111</v>
      </c>
      <c r="D52" s="22" t="s">
        <v>112</v>
      </c>
      <c r="E52" s="18" t="s">
        <v>74</v>
      </c>
      <c r="F52" s="18" t="s">
        <v>55</v>
      </c>
      <c r="G52" s="19"/>
      <c r="H52" s="19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20">
        <v>46147.0</v>
      </c>
      <c r="B53" s="16" t="s">
        <v>102</v>
      </c>
      <c r="C53" s="16" t="s">
        <v>113</v>
      </c>
      <c r="D53" s="21">
        <v>37697.0</v>
      </c>
      <c r="E53" s="18" t="s">
        <v>74</v>
      </c>
      <c r="F53" s="18" t="s">
        <v>55</v>
      </c>
      <c r="G53" s="19"/>
      <c r="H53" s="19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20">
        <v>46147.0</v>
      </c>
      <c r="B54" s="16" t="s">
        <v>102</v>
      </c>
      <c r="C54" s="16" t="s">
        <v>114</v>
      </c>
      <c r="D54" s="20">
        <v>28556.0</v>
      </c>
      <c r="E54" s="18" t="s">
        <v>81</v>
      </c>
      <c r="F54" s="18" t="s">
        <v>55</v>
      </c>
      <c r="G54" s="19"/>
      <c r="H54" s="19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20">
        <v>46147.0</v>
      </c>
      <c r="B55" s="16" t="s">
        <v>102</v>
      </c>
      <c r="C55" s="16" t="s">
        <v>115</v>
      </c>
      <c r="D55" s="20">
        <v>22644.0</v>
      </c>
      <c r="E55" s="18" t="s">
        <v>81</v>
      </c>
      <c r="F55" s="18" t="s">
        <v>55</v>
      </c>
      <c r="G55" s="19"/>
      <c r="H55" s="19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20">
        <v>46147.0</v>
      </c>
      <c r="B56" s="16" t="s">
        <v>102</v>
      </c>
      <c r="C56" s="16" t="s">
        <v>116</v>
      </c>
      <c r="D56" s="20">
        <v>33172.0</v>
      </c>
      <c r="E56" s="18" t="s">
        <v>81</v>
      </c>
      <c r="F56" s="18" t="s">
        <v>55</v>
      </c>
      <c r="G56" s="19"/>
      <c r="H56" s="19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20">
        <v>46147.0</v>
      </c>
      <c r="B57" s="16" t="s">
        <v>102</v>
      </c>
      <c r="C57" s="16" t="s">
        <v>117</v>
      </c>
      <c r="D57" s="20">
        <v>31822.0</v>
      </c>
      <c r="E57" s="18" t="s">
        <v>81</v>
      </c>
      <c r="F57" s="18" t="s">
        <v>55</v>
      </c>
      <c r="G57" s="18"/>
      <c r="H57" s="18" t="s">
        <v>118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20">
        <v>46147.0</v>
      </c>
      <c r="B58" s="16" t="s">
        <v>102</v>
      </c>
      <c r="C58" s="16" t="s">
        <v>119</v>
      </c>
      <c r="D58" s="20">
        <v>32008.0</v>
      </c>
      <c r="E58" s="18" t="s">
        <v>81</v>
      </c>
      <c r="F58" s="18" t="s">
        <v>55</v>
      </c>
      <c r="G58" s="19"/>
      <c r="H58" s="19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20">
        <v>46147.0</v>
      </c>
      <c r="B59" s="16" t="s">
        <v>102</v>
      </c>
      <c r="C59" s="16" t="s">
        <v>120</v>
      </c>
      <c r="D59" s="20">
        <v>26882.0</v>
      </c>
      <c r="E59" s="18" t="s">
        <v>81</v>
      </c>
      <c r="F59" s="18" t="s">
        <v>55</v>
      </c>
      <c r="G59" s="19"/>
      <c r="H59" s="19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20">
        <v>46148.0</v>
      </c>
      <c r="B60" s="17" t="s">
        <v>52</v>
      </c>
      <c r="C60" s="16" t="s">
        <v>121</v>
      </c>
      <c r="D60" s="20">
        <v>38325.0</v>
      </c>
      <c r="E60" s="18" t="s">
        <v>54</v>
      </c>
      <c r="F60" s="18" t="s">
        <v>55</v>
      </c>
      <c r="G60" s="19"/>
      <c r="H60" s="19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20">
        <v>46148.0</v>
      </c>
      <c r="B61" s="17" t="s">
        <v>52</v>
      </c>
      <c r="C61" s="16" t="s">
        <v>122</v>
      </c>
      <c r="D61" s="20">
        <v>23983.0</v>
      </c>
      <c r="E61" s="18" t="s">
        <v>54</v>
      </c>
      <c r="F61" s="18" t="s">
        <v>55</v>
      </c>
      <c r="G61" s="19"/>
      <c r="H61" s="19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20">
        <v>46148.0</v>
      </c>
      <c r="B62" s="17" t="s">
        <v>52</v>
      </c>
      <c r="C62" s="16" t="s">
        <v>123</v>
      </c>
      <c r="D62" s="20">
        <v>31552.0</v>
      </c>
      <c r="E62" s="18" t="s">
        <v>54</v>
      </c>
      <c r="F62" s="18" t="s">
        <v>55</v>
      </c>
      <c r="G62" s="19"/>
      <c r="H62" s="19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20">
        <v>46148.0</v>
      </c>
      <c r="B63" s="17" t="s">
        <v>52</v>
      </c>
      <c r="C63" s="16" t="s">
        <v>124</v>
      </c>
      <c r="D63" s="20">
        <v>29564.0</v>
      </c>
      <c r="E63" s="18" t="s">
        <v>54</v>
      </c>
      <c r="F63" s="18" t="s">
        <v>55</v>
      </c>
      <c r="G63" s="19"/>
      <c r="H63" s="19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20">
        <v>46148.0</v>
      </c>
      <c r="B64" s="17" t="s">
        <v>52</v>
      </c>
      <c r="C64" s="16" t="s">
        <v>125</v>
      </c>
      <c r="D64" s="20">
        <v>32653.0</v>
      </c>
      <c r="E64" s="18" t="s">
        <v>54</v>
      </c>
      <c r="F64" s="18" t="s">
        <v>55</v>
      </c>
      <c r="G64" s="19"/>
      <c r="H64" s="19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20">
        <v>46148.0</v>
      </c>
      <c r="B65" s="17" t="s">
        <v>52</v>
      </c>
      <c r="C65" s="16" t="s">
        <v>126</v>
      </c>
      <c r="D65" s="20">
        <v>26410.0</v>
      </c>
      <c r="E65" s="18" t="s">
        <v>54</v>
      </c>
      <c r="F65" s="18" t="s">
        <v>55</v>
      </c>
      <c r="G65" s="19"/>
      <c r="H65" s="19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20">
        <v>46148.0</v>
      </c>
      <c r="B66" s="17" t="s">
        <v>52</v>
      </c>
      <c r="C66" s="16" t="s">
        <v>127</v>
      </c>
      <c r="D66" s="20">
        <v>27932.0</v>
      </c>
      <c r="E66" s="18" t="s">
        <v>54</v>
      </c>
      <c r="F66" s="18" t="s">
        <v>55</v>
      </c>
      <c r="G66" s="19"/>
      <c r="H66" s="19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20">
        <v>46148.0</v>
      </c>
      <c r="B67" s="17" t="s">
        <v>52</v>
      </c>
      <c r="C67" s="16" t="s">
        <v>128</v>
      </c>
      <c r="D67" s="20">
        <v>31110.0</v>
      </c>
      <c r="E67" s="18" t="s">
        <v>54</v>
      </c>
      <c r="F67" s="18" t="s">
        <v>55</v>
      </c>
      <c r="G67" s="19"/>
      <c r="H67" s="19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20">
        <v>46148.0</v>
      </c>
      <c r="B68" s="17" t="s">
        <v>52</v>
      </c>
      <c r="C68" s="16" t="s">
        <v>129</v>
      </c>
      <c r="D68" s="20">
        <v>25060.0</v>
      </c>
      <c r="E68" s="18" t="s">
        <v>54</v>
      </c>
      <c r="F68" s="18" t="s">
        <v>55</v>
      </c>
      <c r="G68" s="19"/>
      <c r="H68" s="19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20">
        <v>46148.0</v>
      </c>
      <c r="B69" s="17" t="s">
        <v>52</v>
      </c>
      <c r="C69" s="16" t="s">
        <v>130</v>
      </c>
      <c r="D69" s="20">
        <v>30430.0</v>
      </c>
      <c r="E69" s="18" t="s">
        <v>54</v>
      </c>
      <c r="F69" s="18" t="s">
        <v>55</v>
      </c>
      <c r="G69" s="19"/>
      <c r="H69" s="19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20">
        <v>46148.0</v>
      </c>
      <c r="B70" s="17" t="s">
        <v>52</v>
      </c>
      <c r="C70" s="16" t="s">
        <v>131</v>
      </c>
      <c r="D70" s="20">
        <v>24779.0</v>
      </c>
      <c r="E70" s="18" t="s">
        <v>54</v>
      </c>
      <c r="F70" s="18" t="s">
        <v>55</v>
      </c>
      <c r="G70" s="19"/>
      <c r="H70" s="19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20">
        <v>46148.0</v>
      </c>
      <c r="B71" s="17" t="s">
        <v>52</v>
      </c>
      <c r="C71" s="16" t="s">
        <v>132</v>
      </c>
      <c r="D71" s="20">
        <v>35613.0</v>
      </c>
      <c r="E71" s="18" t="s">
        <v>54</v>
      </c>
      <c r="F71" s="18" t="s">
        <v>55</v>
      </c>
      <c r="G71" s="19"/>
      <c r="H71" s="19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20">
        <v>46148.0</v>
      </c>
      <c r="B72" s="17" t="s">
        <v>52</v>
      </c>
      <c r="C72" s="16" t="s">
        <v>133</v>
      </c>
      <c r="D72" s="20">
        <v>25470.0</v>
      </c>
      <c r="E72" s="18" t="s">
        <v>54</v>
      </c>
      <c r="F72" s="18" t="s">
        <v>55</v>
      </c>
      <c r="G72" s="19"/>
      <c r="H72" s="19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20">
        <v>46148.0</v>
      </c>
      <c r="B73" s="17" t="s">
        <v>52</v>
      </c>
      <c r="C73" s="16" t="s">
        <v>134</v>
      </c>
      <c r="D73" s="20">
        <v>33208.0</v>
      </c>
      <c r="E73" s="18" t="s">
        <v>54</v>
      </c>
      <c r="F73" s="18" t="s">
        <v>55</v>
      </c>
      <c r="G73" s="19"/>
      <c r="H73" s="19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20">
        <v>46148.0</v>
      </c>
      <c r="B74" s="17" t="s">
        <v>52</v>
      </c>
      <c r="C74" s="16" t="s">
        <v>135</v>
      </c>
      <c r="D74" s="20">
        <v>29738.0</v>
      </c>
      <c r="E74" s="18" t="s">
        <v>54</v>
      </c>
      <c r="F74" s="18" t="s">
        <v>55</v>
      </c>
      <c r="G74" s="19"/>
      <c r="H74" s="19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20">
        <v>46148.0</v>
      </c>
      <c r="B75" s="17" t="s">
        <v>52</v>
      </c>
      <c r="C75" s="16" t="s">
        <v>136</v>
      </c>
      <c r="D75" s="20">
        <v>31953.0</v>
      </c>
      <c r="E75" s="18" t="s">
        <v>54</v>
      </c>
      <c r="F75" s="18" t="s">
        <v>55</v>
      </c>
      <c r="G75" s="19"/>
      <c r="H75" s="19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20">
        <v>46148.0</v>
      </c>
      <c r="B76" s="17" t="s">
        <v>52</v>
      </c>
      <c r="C76" s="16" t="s">
        <v>137</v>
      </c>
      <c r="D76" s="20">
        <v>33483.0</v>
      </c>
      <c r="E76" s="18" t="s">
        <v>54</v>
      </c>
      <c r="F76" s="18" t="s">
        <v>55</v>
      </c>
      <c r="G76" s="19"/>
      <c r="H76" s="19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20">
        <v>46148.0</v>
      </c>
      <c r="B77" s="17" t="s">
        <v>52</v>
      </c>
      <c r="C77" s="16" t="s">
        <v>138</v>
      </c>
      <c r="D77" s="20">
        <v>35316.0</v>
      </c>
      <c r="E77" s="18" t="s">
        <v>54</v>
      </c>
      <c r="F77" s="18" t="s">
        <v>55</v>
      </c>
      <c r="G77" s="19"/>
      <c r="H77" s="19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20">
        <v>46148.0</v>
      </c>
      <c r="B78" s="17" t="s">
        <v>52</v>
      </c>
      <c r="C78" s="16" t="s">
        <v>139</v>
      </c>
      <c r="D78" s="20">
        <v>37276.0</v>
      </c>
      <c r="E78" s="18" t="s">
        <v>54</v>
      </c>
      <c r="F78" s="18" t="s">
        <v>55</v>
      </c>
      <c r="G78" s="19"/>
      <c r="H78" s="19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20">
        <v>46148.0</v>
      </c>
      <c r="B79" s="17" t="s">
        <v>52</v>
      </c>
      <c r="C79" s="16" t="s">
        <v>140</v>
      </c>
      <c r="D79" s="20">
        <v>36736.0</v>
      </c>
      <c r="E79" s="18" t="s">
        <v>54</v>
      </c>
      <c r="F79" s="18" t="s">
        <v>55</v>
      </c>
      <c r="G79" s="19"/>
      <c r="H79" s="19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20">
        <v>46148.0</v>
      </c>
      <c r="B80" s="17" t="s">
        <v>52</v>
      </c>
      <c r="C80" s="16" t="s">
        <v>141</v>
      </c>
      <c r="D80" s="20">
        <v>32091.0</v>
      </c>
      <c r="E80" s="18" t="s">
        <v>54</v>
      </c>
      <c r="F80" s="18" t="s">
        <v>55</v>
      </c>
      <c r="G80" s="19"/>
      <c r="H80" s="19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20">
        <v>46148.0</v>
      </c>
      <c r="B81" s="17" t="s">
        <v>52</v>
      </c>
      <c r="C81" s="16" t="s">
        <v>142</v>
      </c>
      <c r="D81" s="21">
        <v>25464.0</v>
      </c>
      <c r="E81" s="18" t="s">
        <v>74</v>
      </c>
      <c r="F81" s="18" t="s">
        <v>55</v>
      </c>
      <c r="G81" s="19"/>
      <c r="H81" s="19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20">
        <v>46148.0</v>
      </c>
      <c r="B82" s="17" t="s">
        <v>52</v>
      </c>
      <c r="C82" s="16" t="s">
        <v>143</v>
      </c>
      <c r="D82" s="21">
        <v>23662.0</v>
      </c>
      <c r="E82" s="18" t="s">
        <v>74</v>
      </c>
      <c r="F82" s="18" t="s">
        <v>55</v>
      </c>
      <c r="G82" s="19"/>
      <c r="H82" s="19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20">
        <v>46148.0</v>
      </c>
      <c r="B83" s="17" t="s">
        <v>52</v>
      </c>
      <c r="C83" s="16" t="s">
        <v>144</v>
      </c>
      <c r="D83" s="21">
        <v>26048.0</v>
      </c>
      <c r="E83" s="18" t="s">
        <v>74</v>
      </c>
      <c r="F83" s="18" t="s">
        <v>55</v>
      </c>
      <c r="G83" s="19"/>
      <c r="H83" s="19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20">
        <v>46148.0</v>
      </c>
      <c r="B84" s="17" t="s">
        <v>52</v>
      </c>
      <c r="C84" s="16" t="s">
        <v>145</v>
      </c>
      <c r="D84" s="20">
        <v>31313.0</v>
      </c>
      <c r="E84" s="17" t="s">
        <v>74</v>
      </c>
      <c r="F84" s="18" t="s">
        <v>55</v>
      </c>
      <c r="G84" s="19"/>
      <c r="H84" s="19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20">
        <v>46148.0</v>
      </c>
      <c r="B85" s="17" t="s">
        <v>52</v>
      </c>
      <c r="C85" s="16" t="s">
        <v>146</v>
      </c>
      <c r="D85" s="21">
        <v>34918.0</v>
      </c>
      <c r="E85" s="18" t="s">
        <v>74</v>
      </c>
      <c r="F85" s="18" t="s">
        <v>55</v>
      </c>
      <c r="G85" s="19"/>
      <c r="H85" s="19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20">
        <v>46148.0</v>
      </c>
      <c r="B86" s="17" t="s">
        <v>52</v>
      </c>
      <c r="C86" s="16" t="s">
        <v>147</v>
      </c>
      <c r="D86" s="21">
        <v>35451.0</v>
      </c>
      <c r="E86" s="18" t="s">
        <v>74</v>
      </c>
      <c r="F86" s="18" t="s">
        <v>55</v>
      </c>
      <c r="G86" s="19"/>
      <c r="H86" s="19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20">
        <v>46148.0</v>
      </c>
      <c r="B87" s="17" t="s">
        <v>52</v>
      </c>
      <c r="C87" s="16" t="s">
        <v>148</v>
      </c>
      <c r="D87" s="21">
        <v>35723.0</v>
      </c>
      <c r="E87" s="18" t="s">
        <v>74</v>
      </c>
      <c r="F87" s="18" t="s">
        <v>55</v>
      </c>
      <c r="G87" s="19"/>
      <c r="H87" s="19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20">
        <v>46148.0</v>
      </c>
      <c r="B88" s="17" t="s">
        <v>52</v>
      </c>
      <c r="C88" s="16" t="s">
        <v>149</v>
      </c>
      <c r="D88" s="21">
        <v>35639.0</v>
      </c>
      <c r="E88" s="18" t="s">
        <v>74</v>
      </c>
      <c r="F88" s="18" t="s">
        <v>55</v>
      </c>
      <c r="G88" s="19"/>
      <c r="H88" s="19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20">
        <v>46148.0</v>
      </c>
      <c r="B89" s="17" t="s">
        <v>52</v>
      </c>
      <c r="C89" s="16" t="s">
        <v>150</v>
      </c>
      <c r="D89" s="21">
        <v>34652.0</v>
      </c>
      <c r="E89" s="18" t="s">
        <v>74</v>
      </c>
      <c r="F89" s="18" t="s">
        <v>55</v>
      </c>
      <c r="G89" s="19"/>
      <c r="H89" s="19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20">
        <v>46148.0</v>
      </c>
      <c r="B90" s="17" t="s">
        <v>52</v>
      </c>
      <c r="C90" s="16" t="s">
        <v>151</v>
      </c>
      <c r="D90" s="21">
        <v>32996.0</v>
      </c>
      <c r="E90" s="18" t="s">
        <v>74</v>
      </c>
      <c r="F90" s="18" t="s">
        <v>55</v>
      </c>
      <c r="G90" s="19"/>
      <c r="H90" s="19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20">
        <v>46148.0</v>
      </c>
      <c r="B91" s="17" t="s">
        <v>52</v>
      </c>
      <c r="C91" s="16" t="s">
        <v>152</v>
      </c>
      <c r="D91" s="21">
        <v>34074.0</v>
      </c>
      <c r="E91" s="18" t="s">
        <v>74</v>
      </c>
      <c r="F91" s="18" t="s">
        <v>55</v>
      </c>
      <c r="G91" s="19"/>
      <c r="H91" s="19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20">
        <v>46148.0</v>
      </c>
      <c r="B92" s="16" t="s">
        <v>102</v>
      </c>
      <c r="C92" s="16" t="s">
        <v>153</v>
      </c>
      <c r="D92" s="20">
        <v>29379.0</v>
      </c>
      <c r="E92" s="18" t="s">
        <v>86</v>
      </c>
      <c r="F92" s="18" t="s">
        <v>55</v>
      </c>
      <c r="G92" s="19"/>
      <c r="H92" s="19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20">
        <v>46148.0</v>
      </c>
      <c r="B93" s="16" t="s">
        <v>102</v>
      </c>
      <c r="C93" s="16" t="s">
        <v>154</v>
      </c>
      <c r="D93" s="20">
        <v>33208.0</v>
      </c>
      <c r="E93" s="18" t="s">
        <v>86</v>
      </c>
      <c r="F93" s="18" t="s">
        <v>55</v>
      </c>
      <c r="G93" s="19"/>
      <c r="H93" s="19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20">
        <v>46148.0</v>
      </c>
      <c r="B94" s="16" t="s">
        <v>102</v>
      </c>
      <c r="C94" s="16" t="s">
        <v>155</v>
      </c>
      <c r="D94" s="20">
        <v>35346.0</v>
      </c>
      <c r="E94" s="18" t="s">
        <v>86</v>
      </c>
      <c r="F94" s="18" t="s">
        <v>55</v>
      </c>
      <c r="G94" s="19"/>
      <c r="H94" s="19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20">
        <v>46149.0</v>
      </c>
      <c r="B95" s="17" t="s">
        <v>52</v>
      </c>
      <c r="C95" s="16" t="s">
        <v>156</v>
      </c>
      <c r="D95" s="20">
        <v>32274.0</v>
      </c>
      <c r="E95" s="18" t="s">
        <v>54</v>
      </c>
      <c r="F95" s="18" t="s">
        <v>55</v>
      </c>
      <c r="G95" s="19"/>
      <c r="H95" s="19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20">
        <v>46149.0</v>
      </c>
      <c r="B96" s="17" t="s">
        <v>52</v>
      </c>
      <c r="C96" s="16" t="s">
        <v>157</v>
      </c>
      <c r="D96" s="20">
        <v>32139.0</v>
      </c>
      <c r="E96" s="18" t="s">
        <v>54</v>
      </c>
      <c r="F96" s="18" t="s">
        <v>55</v>
      </c>
      <c r="G96" s="19"/>
      <c r="H96" s="19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20">
        <v>46149.0</v>
      </c>
      <c r="B97" s="17" t="s">
        <v>52</v>
      </c>
      <c r="C97" s="16" t="s">
        <v>158</v>
      </c>
      <c r="D97" s="20">
        <v>30751.0</v>
      </c>
      <c r="E97" s="18" t="s">
        <v>54</v>
      </c>
      <c r="F97" s="18" t="s">
        <v>55</v>
      </c>
      <c r="G97" s="19"/>
      <c r="H97" s="19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20">
        <v>46149.0</v>
      </c>
      <c r="B98" s="17" t="s">
        <v>52</v>
      </c>
      <c r="C98" s="16" t="s">
        <v>159</v>
      </c>
      <c r="D98" s="20">
        <v>32781.0</v>
      </c>
      <c r="E98" s="18" t="s">
        <v>54</v>
      </c>
      <c r="F98" s="18" t="s">
        <v>55</v>
      </c>
      <c r="G98" s="19"/>
      <c r="H98" s="19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20">
        <v>46149.0</v>
      </c>
      <c r="B99" s="17" t="s">
        <v>52</v>
      </c>
      <c r="C99" s="16" t="s">
        <v>160</v>
      </c>
      <c r="D99" s="20">
        <v>25618.0</v>
      </c>
      <c r="E99" s="18" t="s">
        <v>54</v>
      </c>
      <c r="F99" s="18" t="s">
        <v>55</v>
      </c>
      <c r="G99" s="19"/>
      <c r="H99" s="19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20">
        <v>46149.0</v>
      </c>
      <c r="B100" s="17" t="s">
        <v>52</v>
      </c>
      <c r="C100" s="16" t="s">
        <v>161</v>
      </c>
      <c r="D100" s="20">
        <v>35604.0</v>
      </c>
      <c r="E100" s="18" t="s">
        <v>54</v>
      </c>
      <c r="F100" s="18" t="s">
        <v>55</v>
      </c>
      <c r="G100" s="19"/>
      <c r="H100" s="19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20">
        <v>46149.0</v>
      </c>
      <c r="B101" s="17" t="s">
        <v>52</v>
      </c>
      <c r="C101" s="16" t="s">
        <v>162</v>
      </c>
      <c r="D101" s="20">
        <v>30720.0</v>
      </c>
      <c r="E101" s="18" t="s">
        <v>54</v>
      </c>
      <c r="F101" s="18" t="s">
        <v>55</v>
      </c>
      <c r="G101" s="19"/>
      <c r="H101" s="19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20">
        <v>46149.0</v>
      </c>
      <c r="B102" s="17" t="s">
        <v>52</v>
      </c>
      <c r="C102" s="16" t="s">
        <v>163</v>
      </c>
      <c r="D102" s="20">
        <v>24953.0</v>
      </c>
      <c r="E102" s="18" t="s">
        <v>54</v>
      </c>
      <c r="F102" s="18" t="s">
        <v>55</v>
      </c>
      <c r="G102" s="19"/>
      <c r="H102" s="19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20">
        <v>46149.0</v>
      </c>
      <c r="B103" s="17" t="s">
        <v>52</v>
      </c>
      <c r="C103" s="16" t="s">
        <v>164</v>
      </c>
      <c r="D103" s="20">
        <v>23633.0</v>
      </c>
      <c r="E103" s="18" t="s">
        <v>54</v>
      </c>
      <c r="F103" s="18" t="s">
        <v>55</v>
      </c>
      <c r="G103" s="19"/>
      <c r="H103" s="19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20">
        <v>46149.0</v>
      </c>
      <c r="B104" s="17" t="s">
        <v>52</v>
      </c>
      <c r="C104" s="16" t="s">
        <v>165</v>
      </c>
      <c r="D104" s="20">
        <v>31969.0</v>
      </c>
      <c r="E104" s="18" t="s">
        <v>54</v>
      </c>
      <c r="F104" s="18" t="s">
        <v>55</v>
      </c>
      <c r="G104" s="19"/>
      <c r="H104" s="19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20">
        <v>46149.0</v>
      </c>
      <c r="B105" s="17" t="s">
        <v>52</v>
      </c>
      <c r="C105" s="16" t="s">
        <v>166</v>
      </c>
      <c r="D105" s="20">
        <v>23191.0</v>
      </c>
      <c r="E105" s="18" t="s">
        <v>54</v>
      </c>
      <c r="F105" s="18" t="s">
        <v>55</v>
      </c>
      <c r="G105" s="19"/>
      <c r="H105" s="19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20">
        <v>46149.0</v>
      </c>
      <c r="B106" s="17" t="s">
        <v>52</v>
      </c>
      <c r="C106" s="16" t="s">
        <v>167</v>
      </c>
      <c r="D106" s="20">
        <v>26887.0</v>
      </c>
      <c r="E106" s="18" t="s">
        <v>54</v>
      </c>
      <c r="F106" s="18" t="s">
        <v>55</v>
      </c>
      <c r="G106" s="19"/>
      <c r="H106" s="19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20">
        <v>46149.0</v>
      </c>
      <c r="B107" s="17" t="s">
        <v>52</v>
      </c>
      <c r="C107" s="16" t="s">
        <v>168</v>
      </c>
      <c r="D107" s="20">
        <v>32406.0</v>
      </c>
      <c r="E107" s="18" t="s">
        <v>54</v>
      </c>
      <c r="F107" s="18" t="s">
        <v>55</v>
      </c>
      <c r="G107" s="19"/>
      <c r="H107" s="19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20">
        <v>46149.0</v>
      </c>
      <c r="B108" s="17" t="s">
        <v>52</v>
      </c>
      <c r="C108" s="16" t="s">
        <v>169</v>
      </c>
      <c r="D108" s="20">
        <v>26244.0</v>
      </c>
      <c r="E108" s="18" t="s">
        <v>54</v>
      </c>
      <c r="F108" s="18" t="s">
        <v>55</v>
      </c>
      <c r="G108" s="19"/>
      <c r="H108" s="19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20">
        <v>46149.0</v>
      </c>
      <c r="B109" s="17" t="s">
        <v>52</v>
      </c>
      <c r="C109" s="16" t="s">
        <v>170</v>
      </c>
      <c r="D109" s="20">
        <v>35103.0</v>
      </c>
      <c r="E109" s="18" t="s">
        <v>54</v>
      </c>
      <c r="F109" s="18" t="s">
        <v>55</v>
      </c>
      <c r="G109" s="19"/>
      <c r="H109" s="19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20">
        <v>46149.0</v>
      </c>
      <c r="B110" s="17" t="s">
        <v>52</v>
      </c>
      <c r="C110" s="16" t="s">
        <v>171</v>
      </c>
      <c r="D110" s="20">
        <v>29527.0</v>
      </c>
      <c r="E110" s="18" t="s">
        <v>54</v>
      </c>
      <c r="F110" s="18" t="s">
        <v>55</v>
      </c>
      <c r="G110" s="19"/>
      <c r="H110" s="19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20">
        <v>46149.0</v>
      </c>
      <c r="B111" s="17" t="s">
        <v>52</v>
      </c>
      <c r="C111" s="16" t="s">
        <v>172</v>
      </c>
      <c r="D111" s="20">
        <v>30599.0</v>
      </c>
      <c r="E111" s="18" t="s">
        <v>54</v>
      </c>
      <c r="F111" s="18" t="s">
        <v>55</v>
      </c>
      <c r="G111" s="19"/>
      <c r="H111" s="19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20">
        <v>46149.0</v>
      </c>
      <c r="B112" s="17" t="s">
        <v>52</v>
      </c>
      <c r="C112" s="16" t="s">
        <v>173</v>
      </c>
      <c r="D112" s="20">
        <v>28911.0</v>
      </c>
      <c r="E112" s="18" t="s">
        <v>54</v>
      </c>
      <c r="F112" s="18" t="s">
        <v>55</v>
      </c>
      <c r="G112" s="19"/>
      <c r="H112" s="19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20">
        <v>46149.0</v>
      </c>
      <c r="B113" s="17" t="s">
        <v>52</v>
      </c>
      <c r="C113" s="16" t="s">
        <v>174</v>
      </c>
      <c r="D113" s="20">
        <v>24886.0</v>
      </c>
      <c r="E113" s="18" t="s">
        <v>54</v>
      </c>
      <c r="F113" s="18" t="s">
        <v>55</v>
      </c>
      <c r="G113" s="19"/>
      <c r="H113" s="19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20">
        <v>46149.0</v>
      </c>
      <c r="B114" s="17" t="s">
        <v>52</v>
      </c>
      <c r="C114" s="16" t="s">
        <v>175</v>
      </c>
      <c r="D114" s="20">
        <v>29958.0</v>
      </c>
      <c r="E114" s="18" t="s">
        <v>54</v>
      </c>
      <c r="F114" s="18" t="s">
        <v>55</v>
      </c>
      <c r="G114" s="19"/>
      <c r="H114" s="19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20">
        <v>46149.0</v>
      </c>
      <c r="B115" s="17" t="s">
        <v>52</v>
      </c>
      <c r="C115" s="16" t="s">
        <v>176</v>
      </c>
      <c r="D115" s="20">
        <v>37867.0</v>
      </c>
      <c r="E115" s="18" t="s">
        <v>54</v>
      </c>
      <c r="F115" s="18" t="s">
        <v>55</v>
      </c>
      <c r="G115" s="19"/>
      <c r="H115" s="19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20">
        <v>46149.0</v>
      </c>
      <c r="B116" s="17" t="s">
        <v>52</v>
      </c>
      <c r="C116" s="16" t="s">
        <v>177</v>
      </c>
      <c r="D116" s="20">
        <v>32233.0</v>
      </c>
      <c r="E116" s="18" t="s">
        <v>54</v>
      </c>
      <c r="F116" s="18" t="s">
        <v>55</v>
      </c>
      <c r="G116" s="19"/>
      <c r="H116" s="19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20">
        <v>46150.0</v>
      </c>
      <c r="B117" s="17" t="s">
        <v>52</v>
      </c>
      <c r="C117" s="17" t="s">
        <v>178</v>
      </c>
      <c r="D117" s="21">
        <v>38112.0</v>
      </c>
      <c r="E117" s="18" t="s">
        <v>74</v>
      </c>
      <c r="F117" s="18" t="s">
        <v>55</v>
      </c>
      <c r="G117" s="19"/>
      <c r="H117" s="19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20">
        <v>46150.0</v>
      </c>
      <c r="B118" s="17" t="s">
        <v>52</v>
      </c>
      <c r="C118" s="17" t="s">
        <v>179</v>
      </c>
      <c r="D118" s="20">
        <v>24186.0</v>
      </c>
      <c r="E118" s="18" t="s">
        <v>74</v>
      </c>
      <c r="F118" s="18" t="s">
        <v>55</v>
      </c>
      <c r="G118" s="19"/>
      <c r="H118" s="19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20">
        <v>46150.0</v>
      </c>
      <c r="B119" s="17" t="s">
        <v>52</v>
      </c>
      <c r="C119" s="17" t="s">
        <v>180</v>
      </c>
      <c r="D119" s="20">
        <v>26851.0</v>
      </c>
      <c r="E119" s="18" t="s">
        <v>74</v>
      </c>
      <c r="F119" s="18" t="s">
        <v>55</v>
      </c>
      <c r="G119" s="19"/>
      <c r="H119" s="19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20">
        <v>46150.0</v>
      </c>
      <c r="B120" s="17" t="s">
        <v>52</v>
      </c>
      <c r="C120" s="17" t="s">
        <v>181</v>
      </c>
      <c r="D120" s="20">
        <v>30712.0</v>
      </c>
      <c r="E120" s="18" t="s">
        <v>74</v>
      </c>
      <c r="F120" s="18" t="s">
        <v>55</v>
      </c>
      <c r="G120" s="19"/>
      <c r="H120" s="19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20">
        <v>46150.0</v>
      </c>
      <c r="B121" s="17" t="s">
        <v>52</v>
      </c>
      <c r="C121" s="17" t="s">
        <v>182</v>
      </c>
      <c r="D121" s="20">
        <v>36767.0</v>
      </c>
      <c r="E121" s="18" t="s">
        <v>74</v>
      </c>
      <c r="F121" s="18" t="s">
        <v>55</v>
      </c>
      <c r="G121" s="19"/>
      <c r="H121" s="19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20">
        <v>46150.0</v>
      </c>
      <c r="B122" s="17" t="s">
        <v>52</v>
      </c>
      <c r="C122" s="17" t="s">
        <v>183</v>
      </c>
      <c r="D122" s="20">
        <v>36767.0</v>
      </c>
      <c r="E122" s="18" t="s">
        <v>74</v>
      </c>
      <c r="F122" s="18" t="s">
        <v>55</v>
      </c>
      <c r="G122" s="19"/>
      <c r="H122" s="19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20">
        <v>46150.0</v>
      </c>
      <c r="B123" s="17" t="s">
        <v>52</v>
      </c>
      <c r="C123" s="17" t="s">
        <v>184</v>
      </c>
      <c r="D123" s="20">
        <v>32580.0</v>
      </c>
      <c r="E123" s="18" t="s">
        <v>54</v>
      </c>
      <c r="F123" s="18" t="s">
        <v>55</v>
      </c>
      <c r="G123" s="19"/>
      <c r="H123" s="19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20">
        <v>46150.0</v>
      </c>
      <c r="B124" s="17" t="s">
        <v>52</v>
      </c>
      <c r="C124" s="17" t="s">
        <v>185</v>
      </c>
      <c r="D124" s="20">
        <v>25131.0</v>
      </c>
      <c r="E124" s="18" t="s">
        <v>54</v>
      </c>
      <c r="F124" s="18" t="s">
        <v>55</v>
      </c>
      <c r="G124" s="19"/>
      <c r="H124" s="19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20">
        <v>46150.0</v>
      </c>
      <c r="B125" s="17" t="s">
        <v>52</v>
      </c>
      <c r="C125" s="17" t="s">
        <v>186</v>
      </c>
      <c r="D125" s="20">
        <v>30335.0</v>
      </c>
      <c r="E125" s="18" t="s">
        <v>54</v>
      </c>
      <c r="F125" s="18" t="s">
        <v>55</v>
      </c>
      <c r="G125" s="19"/>
      <c r="H125" s="19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20">
        <v>46150.0</v>
      </c>
      <c r="B126" s="17" t="s">
        <v>52</v>
      </c>
      <c r="C126" s="17" t="s">
        <v>187</v>
      </c>
      <c r="D126" s="20">
        <v>28325.0</v>
      </c>
      <c r="E126" s="18" t="s">
        <v>54</v>
      </c>
      <c r="F126" s="18" t="s">
        <v>55</v>
      </c>
      <c r="G126" s="19"/>
      <c r="H126" s="19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20">
        <v>46150.0</v>
      </c>
      <c r="B127" s="17" t="s">
        <v>52</v>
      </c>
      <c r="C127" s="17" t="s">
        <v>188</v>
      </c>
      <c r="D127" s="20">
        <v>36017.0</v>
      </c>
      <c r="E127" s="18" t="s">
        <v>54</v>
      </c>
      <c r="F127" s="18" t="s">
        <v>55</v>
      </c>
      <c r="G127" s="19"/>
      <c r="H127" s="19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20">
        <v>46150.0</v>
      </c>
      <c r="B128" s="17" t="s">
        <v>52</v>
      </c>
      <c r="C128" s="17" t="s">
        <v>189</v>
      </c>
      <c r="D128" s="20">
        <v>33653.0</v>
      </c>
      <c r="E128" s="18" t="s">
        <v>54</v>
      </c>
      <c r="F128" s="18" t="s">
        <v>55</v>
      </c>
      <c r="G128" s="19"/>
      <c r="H128" s="19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20">
        <v>46150.0</v>
      </c>
      <c r="B129" s="17" t="s">
        <v>52</v>
      </c>
      <c r="C129" s="17" t="s">
        <v>190</v>
      </c>
      <c r="D129" s="20">
        <v>22603.0</v>
      </c>
      <c r="E129" s="18" t="s">
        <v>54</v>
      </c>
      <c r="F129" s="18" t="s">
        <v>55</v>
      </c>
      <c r="G129" s="19"/>
      <c r="H129" s="19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20">
        <v>46150.0</v>
      </c>
      <c r="B130" s="17" t="s">
        <v>52</v>
      </c>
      <c r="C130" s="17" t="s">
        <v>191</v>
      </c>
      <c r="D130" s="20">
        <v>26885.0</v>
      </c>
      <c r="E130" s="18" t="s">
        <v>54</v>
      </c>
      <c r="F130" s="17" t="s">
        <v>55</v>
      </c>
      <c r="G130" s="17"/>
      <c r="H130" s="17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20">
        <v>46150.0</v>
      </c>
      <c r="B131" s="17" t="s">
        <v>52</v>
      </c>
      <c r="C131" s="17" t="s">
        <v>192</v>
      </c>
      <c r="D131" s="20">
        <v>34934.0</v>
      </c>
      <c r="E131" s="18" t="s">
        <v>54</v>
      </c>
      <c r="F131" s="18" t="s">
        <v>55</v>
      </c>
      <c r="G131" s="19"/>
      <c r="H131" s="19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20">
        <v>46150.0</v>
      </c>
      <c r="B132" s="17" t="s">
        <v>52</v>
      </c>
      <c r="C132" s="17" t="s">
        <v>193</v>
      </c>
      <c r="D132" s="20">
        <v>34928.0</v>
      </c>
      <c r="E132" s="18" t="s">
        <v>54</v>
      </c>
      <c r="F132" s="18" t="s">
        <v>55</v>
      </c>
      <c r="G132" s="19"/>
      <c r="H132" s="19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20">
        <v>46150.0</v>
      </c>
      <c r="B133" s="17" t="s">
        <v>52</v>
      </c>
      <c r="C133" s="17" t="s">
        <v>194</v>
      </c>
      <c r="D133" s="20">
        <v>31665.0</v>
      </c>
      <c r="E133" s="18" t="s">
        <v>54</v>
      </c>
      <c r="F133" s="18" t="s">
        <v>55</v>
      </c>
      <c r="G133" s="19"/>
      <c r="H133" s="19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20">
        <v>46150.0</v>
      </c>
      <c r="B134" s="17" t="s">
        <v>52</v>
      </c>
      <c r="C134" s="17" t="s">
        <v>195</v>
      </c>
      <c r="D134" s="20">
        <v>23876.0</v>
      </c>
      <c r="E134" s="18" t="s">
        <v>54</v>
      </c>
      <c r="F134" s="18" t="s">
        <v>55</v>
      </c>
      <c r="G134" s="19"/>
      <c r="H134" s="19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20">
        <v>46150.0</v>
      </c>
      <c r="B135" s="17" t="s">
        <v>52</v>
      </c>
      <c r="C135" s="17" t="s">
        <v>196</v>
      </c>
      <c r="D135" s="20">
        <v>35806.0</v>
      </c>
      <c r="E135" s="18" t="s">
        <v>54</v>
      </c>
      <c r="F135" s="18" t="s">
        <v>55</v>
      </c>
      <c r="G135" s="19"/>
      <c r="H135" s="19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20">
        <v>46150.0</v>
      </c>
      <c r="B136" s="17" t="s">
        <v>52</v>
      </c>
      <c r="C136" s="17" t="s">
        <v>197</v>
      </c>
      <c r="D136" s="20">
        <v>35670.0</v>
      </c>
      <c r="E136" s="18" t="s">
        <v>54</v>
      </c>
      <c r="F136" s="18" t="s">
        <v>55</v>
      </c>
      <c r="G136" s="19"/>
      <c r="H136" s="19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20">
        <v>46150.0</v>
      </c>
      <c r="B137" s="17" t="s">
        <v>52</v>
      </c>
      <c r="C137" s="17" t="s">
        <v>198</v>
      </c>
      <c r="D137" s="20">
        <v>36076.0</v>
      </c>
      <c r="E137" s="18" t="s">
        <v>54</v>
      </c>
      <c r="F137" s="18" t="s">
        <v>55</v>
      </c>
      <c r="G137" s="19"/>
      <c r="H137" s="19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20">
        <v>46150.0</v>
      </c>
      <c r="B138" s="17" t="s">
        <v>52</v>
      </c>
      <c r="C138" s="17" t="s">
        <v>199</v>
      </c>
      <c r="D138" s="20">
        <v>24486.0</v>
      </c>
      <c r="E138" s="18" t="s">
        <v>54</v>
      </c>
      <c r="F138" s="18" t="s">
        <v>55</v>
      </c>
      <c r="G138" s="19"/>
      <c r="H138" s="19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20">
        <v>46150.0</v>
      </c>
      <c r="B139" s="17" t="s">
        <v>52</v>
      </c>
      <c r="C139" s="17" t="s">
        <v>200</v>
      </c>
      <c r="D139" s="20">
        <v>22426.0</v>
      </c>
      <c r="E139" s="18" t="s">
        <v>54</v>
      </c>
      <c r="F139" s="18" t="s">
        <v>55</v>
      </c>
      <c r="G139" s="19"/>
      <c r="H139" s="19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20">
        <v>46150.0</v>
      </c>
      <c r="B140" s="17" t="s">
        <v>52</v>
      </c>
      <c r="C140" s="17" t="s">
        <v>201</v>
      </c>
      <c r="D140" s="20">
        <v>22605.0</v>
      </c>
      <c r="E140" s="18" t="s">
        <v>54</v>
      </c>
      <c r="F140" s="18" t="s">
        <v>55</v>
      </c>
      <c r="G140" s="19"/>
      <c r="H140" s="19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20">
        <v>46150.0</v>
      </c>
      <c r="B141" s="17" t="s">
        <v>52</v>
      </c>
      <c r="C141" s="17" t="s">
        <v>202</v>
      </c>
      <c r="D141" s="20">
        <v>25614.0</v>
      </c>
      <c r="E141" s="18" t="s">
        <v>54</v>
      </c>
      <c r="F141" s="18" t="s">
        <v>55</v>
      </c>
      <c r="G141" s="19"/>
      <c r="H141" s="19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20">
        <v>46150.0</v>
      </c>
      <c r="B142" s="17" t="s">
        <v>52</v>
      </c>
      <c r="C142" s="17" t="s">
        <v>203</v>
      </c>
      <c r="D142" s="20">
        <v>31155.0</v>
      </c>
      <c r="E142" s="18" t="s">
        <v>54</v>
      </c>
      <c r="F142" s="18" t="s">
        <v>55</v>
      </c>
      <c r="G142" s="19"/>
      <c r="H142" s="19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20">
        <v>46150.0</v>
      </c>
      <c r="B143" s="17" t="s">
        <v>52</v>
      </c>
      <c r="C143" s="17" t="s">
        <v>204</v>
      </c>
      <c r="D143" s="20">
        <v>31287.0</v>
      </c>
      <c r="E143" s="18" t="s">
        <v>54</v>
      </c>
      <c r="F143" s="18" t="s">
        <v>55</v>
      </c>
      <c r="G143" s="19"/>
      <c r="H143" s="19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20">
        <v>46150.0</v>
      </c>
      <c r="B144" s="17" t="s">
        <v>52</v>
      </c>
      <c r="C144" s="17" t="s">
        <v>205</v>
      </c>
      <c r="D144" s="20">
        <v>23686.0</v>
      </c>
      <c r="E144" s="18" t="s">
        <v>54</v>
      </c>
      <c r="F144" s="18" t="s">
        <v>55</v>
      </c>
      <c r="G144" s="19"/>
      <c r="H144" s="19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20">
        <v>46150.0</v>
      </c>
      <c r="B145" s="17" t="s">
        <v>52</v>
      </c>
      <c r="C145" s="17" t="s">
        <v>206</v>
      </c>
      <c r="D145" s="20">
        <v>26145.0</v>
      </c>
      <c r="E145" s="18" t="s">
        <v>54</v>
      </c>
      <c r="F145" s="18" t="s">
        <v>55</v>
      </c>
      <c r="G145" s="19"/>
      <c r="H145" s="19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20">
        <v>46153.0</v>
      </c>
      <c r="B146" s="17" t="s">
        <v>52</v>
      </c>
      <c r="C146" s="17" t="s">
        <v>207</v>
      </c>
      <c r="D146" s="20">
        <v>26427.0</v>
      </c>
      <c r="E146" s="18" t="s">
        <v>54</v>
      </c>
      <c r="F146" s="18" t="s">
        <v>55</v>
      </c>
      <c r="G146" s="19"/>
      <c r="H146" s="19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20">
        <v>46153.0</v>
      </c>
      <c r="B147" s="17" t="s">
        <v>52</v>
      </c>
      <c r="C147" s="17" t="s">
        <v>208</v>
      </c>
      <c r="D147" s="20">
        <v>36432.0</v>
      </c>
      <c r="E147" s="18" t="s">
        <v>54</v>
      </c>
      <c r="F147" s="18" t="s">
        <v>55</v>
      </c>
      <c r="G147" s="19"/>
      <c r="H147" s="19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20">
        <v>46153.0</v>
      </c>
      <c r="B148" s="17" t="s">
        <v>52</v>
      </c>
      <c r="C148" s="17" t="s">
        <v>209</v>
      </c>
      <c r="D148" s="20">
        <v>24438.0</v>
      </c>
      <c r="E148" s="18" t="s">
        <v>54</v>
      </c>
      <c r="F148" s="18" t="s">
        <v>55</v>
      </c>
      <c r="G148" s="19"/>
      <c r="H148" s="19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20">
        <v>46153.0</v>
      </c>
      <c r="B149" s="17" t="s">
        <v>52</v>
      </c>
      <c r="C149" s="17" t="s">
        <v>210</v>
      </c>
      <c r="D149" s="20">
        <v>25030.0</v>
      </c>
      <c r="E149" s="18" t="s">
        <v>54</v>
      </c>
      <c r="F149" s="18" t="s">
        <v>55</v>
      </c>
      <c r="G149" s="19"/>
      <c r="H149" s="19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20">
        <v>46153.0</v>
      </c>
      <c r="B150" s="17" t="s">
        <v>52</v>
      </c>
      <c r="C150" s="17" t="s">
        <v>211</v>
      </c>
      <c r="D150" s="20">
        <v>30417.0</v>
      </c>
      <c r="E150" s="18" t="s">
        <v>54</v>
      </c>
      <c r="F150" s="18" t="s">
        <v>55</v>
      </c>
      <c r="G150" s="19"/>
      <c r="H150" s="19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20">
        <v>46153.0</v>
      </c>
      <c r="B151" s="17" t="s">
        <v>52</v>
      </c>
      <c r="C151" s="17" t="s">
        <v>212</v>
      </c>
      <c r="D151" s="20">
        <v>26207.0</v>
      </c>
      <c r="E151" s="18" t="s">
        <v>54</v>
      </c>
      <c r="F151" s="18" t="s">
        <v>55</v>
      </c>
      <c r="G151" s="19"/>
      <c r="H151" s="19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20">
        <v>46153.0</v>
      </c>
      <c r="B152" s="17" t="s">
        <v>52</v>
      </c>
      <c r="C152" s="17" t="s">
        <v>213</v>
      </c>
      <c r="D152" s="20">
        <v>27331.0</v>
      </c>
      <c r="E152" s="18" t="s">
        <v>54</v>
      </c>
      <c r="F152" s="18" t="s">
        <v>55</v>
      </c>
      <c r="G152" s="19"/>
      <c r="H152" s="19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20">
        <v>46153.0</v>
      </c>
      <c r="B153" s="17" t="s">
        <v>52</v>
      </c>
      <c r="C153" s="17" t="s">
        <v>214</v>
      </c>
      <c r="D153" s="20">
        <v>30797.0</v>
      </c>
      <c r="E153" s="18" t="s">
        <v>54</v>
      </c>
      <c r="F153" s="18" t="s">
        <v>55</v>
      </c>
      <c r="G153" s="19"/>
      <c r="H153" s="19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20">
        <v>46153.0</v>
      </c>
      <c r="B154" s="17" t="s">
        <v>52</v>
      </c>
      <c r="C154" s="17" t="s">
        <v>215</v>
      </c>
      <c r="D154" s="20">
        <v>36050.0</v>
      </c>
      <c r="E154" s="18" t="s">
        <v>54</v>
      </c>
      <c r="F154" s="18" t="s">
        <v>55</v>
      </c>
      <c r="G154" s="19"/>
      <c r="H154" s="19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20">
        <v>46153.0</v>
      </c>
      <c r="B155" s="17" t="s">
        <v>52</v>
      </c>
      <c r="C155" s="17" t="s">
        <v>216</v>
      </c>
      <c r="D155" s="20">
        <v>33873.0</v>
      </c>
      <c r="E155" s="18" t="s">
        <v>54</v>
      </c>
      <c r="F155" s="18" t="s">
        <v>55</v>
      </c>
      <c r="G155" s="19"/>
      <c r="H155" s="19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20">
        <v>46153.0</v>
      </c>
      <c r="B156" s="17" t="s">
        <v>52</v>
      </c>
      <c r="C156" s="17" t="s">
        <v>217</v>
      </c>
      <c r="D156" s="20">
        <v>31323.0</v>
      </c>
      <c r="E156" s="18" t="s">
        <v>54</v>
      </c>
      <c r="F156" s="18" t="s">
        <v>55</v>
      </c>
      <c r="G156" s="19"/>
      <c r="H156" s="19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20">
        <v>46153.0</v>
      </c>
      <c r="B157" s="17" t="s">
        <v>52</v>
      </c>
      <c r="C157" s="17" t="s">
        <v>218</v>
      </c>
      <c r="D157" s="20">
        <v>36243.0</v>
      </c>
      <c r="E157" s="18" t="s">
        <v>74</v>
      </c>
      <c r="F157" s="18" t="s">
        <v>55</v>
      </c>
      <c r="G157" s="19"/>
      <c r="H157" s="19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20">
        <v>46153.0</v>
      </c>
      <c r="B158" s="17" t="s">
        <v>52</v>
      </c>
      <c r="C158" s="17" t="s">
        <v>219</v>
      </c>
      <c r="D158" s="20">
        <v>32888.0</v>
      </c>
      <c r="E158" s="18" t="s">
        <v>74</v>
      </c>
      <c r="F158" s="18" t="s">
        <v>55</v>
      </c>
      <c r="G158" s="19"/>
      <c r="H158" s="19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20">
        <v>46153.0</v>
      </c>
      <c r="B159" s="17" t="s">
        <v>52</v>
      </c>
      <c r="C159" s="17" t="s">
        <v>220</v>
      </c>
      <c r="D159" s="20">
        <v>35391.0</v>
      </c>
      <c r="E159" s="18" t="s">
        <v>74</v>
      </c>
      <c r="F159" s="18" t="s">
        <v>55</v>
      </c>
      <c r="G159" s="19"/>
      <c r="H159" s="19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20">
        <v>46153.0</v>
      </c>
      <c r="B160" s="17" t="s">
        <v>52</v>
      </c>
      <c r="C160" s="17" t="s">
        <v>221</v>
      </c>
      <c r="D160" s="20">
        <v>32043.0</v>
      </c>
      <c r="E160" s="18" t="s">
        <v>74</v>
      </c>
      <c r="F160" s="18" t="s">
        <v>55</v>
      </c>
      <c r="G160" s="19"/>
      <c r="H160" s="19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20">
        <v>46153.0</v>
      </c>
      <c r="B161" s="17" t="s">
        <v>52</v>
      </c>
      <c r="C161" s="17" t="s">
        <v>222</v>
      </c>
      <c r="D161" s="20">
        <v>31689.0</v>
      </c>
      <c r="E161" s="18" t="s">
        <v>74</v>
      </c>
      <c r="F161" s="18" t="s">
        <v>55</v>
      </c>
      <c r="G161" s="19"/>
      <c r="H161" s="19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20">
        <v>46153.0</v>
      </c>
      <c r="B162" s="17" t="s">
        <v>52</v>
      </c>
      <c r="C162" s="17" t="s">
        <v>223</v>
      </c>
      <c r="D162" s="23">
        <v>25855.0</v>
      </c>
      <c r="E162" s="18" t="s">
        <v>74</v>
      </c>
      <c r="F162" s="18" t="s">
        <v>55</v>
      </c>
      <c r="G162" s="19"/>
      <c r="H162" s="19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20">
        <v>46153.0</v>
      </c>
      <c r="B163" s="17" t="s">
        <v>52</v>
      </c>
      <c r="C163" s="17" t="s">
        <v>224</v>
      </c>
      <c r="D163" s="23">
        <v>25855.0</v>
      </c>
      <c r="E163" s="18" t="s">
        <v>74</v>
      </c>
      <c r="F163" s="18" t="s">
        <v>55</v>
      </c>
      <c r="G163" s="19"/>
      <c r="H163" s="19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20">
        <v>46154.0</v>
      </c>
      <c r="B164" s="17" t="s">
        <v>52</v>
      </c>
      <c r="C164" s="17" t="s">
        <v>225</v>
      </c>
      <c r="D164" s="20">
        <v>23987.0</v>
      </c>
      <c r="E164" s="18" t="s">
        <v>54</v>
      </c>
      <c r="F164" s="18" t="s">
        <v>55</v>
      </c>
      <c r="G164" s="19"/>
      <c r="H164" s="19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20">
        <v>46154.0</v>
      </c>
      <c r="B165" s="17" t="s">
        <v>52</v>
      </c>
      <c r="C165" s="17" t="s">
        <v>226</v>
      </c>
      <c r="D165" s="20">
        <v>26019.0</v>
      </c>
      <c r="E165" s="18" t="s">
        <v>54</v>
      </c>
      <c r="F165" s="18" t="s">
        <v>55</v>
      </c>
      <c r="G165" s="19"/>
      <c r="H165" s="19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20">
        <v>46154.0</v>
      </c>
      <c r="B166" s="17" t="s">
        <v>52</v>
      </c>
      <c r="C166" s="17" t="s">
        <v>227</v>
      </c>
      <c r="D166" s="20">
        <v>35779.0</v>
      </c>
      <c r="E166" s="18" t="s">
        <v>54</v>
      </c>
      <c r="F166" s="18" t="s">
        <v>55</v>
      </c>
      <c r="G166" s="19"/>
      <c r="H166" s="19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20">
        <v>46154.0</v>
      </c>
      <c r="B167" s="17" t="s">
        <v>52</v>
      </c>
      <c r="C167" s="17" t="s">
        <v>228</v>
      </c>
      <c r="D167" s="20">
        <v>27791.0</v>
      </c>
      <c r="E167" s="18" t="s">
        <v>54</v>
      </c>
      <c r="F167" s="18" t="s">
        <v>55</v>
      </c>
      <c r="G167" s="19"/>
      <c r="H167" s="19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20">
        <v>46154.0</v>
      </c>
      <c r="B168" s="17" t="s">
        <v>52</v>
      </c>
      <c r="C168" s="17" t="s">
        <v>229</v>
      </c>
      <c r="D168" s="20">
        <v>28218.0</v>
      </c>
      <c r="E168" s="18" t="s">
        <v>54</v>
      </c>
      <c r="F168" s="18" t="s">
        <v>55</v>
      </c>
      <c r="G168" s="19"/>
      <c r="H168" s="19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20">
        <v>46154.0</v>
      </c>
      <c r="B169" s="17" t="s">
        <v>52</v>
      </c>
      <c r="C169" s="17" t="s">
        <v>230</v>
      </c>
      <c r="D169" s="20">
        <v>36954.0</v>
      </c>
      <c r="E169" s="18" t="s">
        <v>54</v>
      </c>
      <c r="F169" s="18" t="s">
        <v>55</v>
      </c>
      <c r="G169" s="19"/>
      <c r="H169" s="19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20">
        <v>46154.0</v>
      </c>
      <c r="B170" s="17" t="s">
        <v>52</v>
      </c>
      <c r="C170" s="17" t="s">
        <v>231</v>
      </c>
      <c r="D170" s="20">
        <v>26735.0</v>
      </c>
      <c r="E170" s="18" t="s">
        <v>54</v>
      </c>
      <c r="F170" s="18" t="s">
        <v>55</v>
      </c>
      <c r="G170" s="19"/>
      <c r="H170" s="19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20">
        <v>46154.0</v>
      </c>
      <c r="B171" s="17" t="s">
        <v>52</v>
      </c>
      <c r="C171" s="17" t="s">
        <v>232</v>
      </c>
      <c r="D171" s="20">
        <v>33868.0</v>
      </c>
      <c r="E171" s="18" t="s">
        <v>54</v>
      </c>
      <c r="F171" s="18" t="s">
        <v>55</v>
      </c>
      <c r="G171" s="19"/>
      <c r="H171" s="19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20">
        <v>46154.0</v>
      </c>
      <c r="B172" s="17" t="s">
        <v>52</v>
      </c>
      <c r="C172" s="17" t="s">
        <v>233</v>
      </c>
      <c r="D172" s="20">
        <v>35127.0</v>
      </c>
      <c r="E172" s="18" t="s">
        <v>54</v>
      </c>
      <c r="F172" s="18" t="s">
        <v>55</v>
      </c>
      <c r="G172" s="19"/>
      <c r="H172" s="19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20">
        <v>46154.0</v>
      </c>
      <c r="B173" s="17" t="s">
        <v>52</v>
      </c>
      <c r="C173" s="17" t="s">
        <v>234</v>
      </c>
      <c r="D173" s="20">
        <v>35357.0</v>
      </c>
      <c r="E173" s="18" t="s">
        <v>54</v>
      </c>
      <c r="F173" s="18" t="s">
        <v>55</v>
      </c>
      <c r="G173" s="19"/>
      <c r="H173" s="19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20">
        <v>46154.0</v>
      </c>
      <c r="B174" s="17" t="s">
        <v>52</v>
      </c>
      <c r="C174" s="17" t="s">
        <v>235</v>
      </c>
      <c r="D174" s="20">
        <v>38050.0</v>
      </c>
      <c r="E174" s="18" t="s">
        <v>54</v>
      </c>
      <c r="F174" s="18" t="s">
        <v>55</v>
      </c>
      <c r="G174" s="19"/>
      <c r="H174" s="19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20">
        <v>46154.0</v>
      </c>
      <c r="B175" s="17" t="s">
        <v>52</v>
      </c>
      <c r="C175" s="17" t="s">
        <v>236</v>
      </c>
      <c r="D175" s="20">
        <v>25453.0</v>
      </c>
      <c r="E175" s="18" t="s">
        <v>54</v>
      </c>
      <c r="F175" s="18" t="s">
        <v>55</v>
      </c>
      <c r="G175" s="19"/>
      <c r="H175" s="19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20">
        <v>46154.0</v>
      </c>
      <c r="B176" s="17" t="s">
        <v>52</v>
      </c>
      <c r="C176" s="17" t="s">
        <v>237</v>
      </c>
      <c r="D176" s="20">
        <v>30533.0</v>
      </c>
      <c r="E176" s="18" t="s">
        <v>54</v>
      </c>
      <c r="F176" s="18" t="s">
        <v>55</v>
      </c>
      <c r="G176" s="19"/>
      <c r="H176" s="19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20">
        <v>46154.0</v>
      </c>
      <c r="B177" s="17" t="s">
        <v>52</v>
      </c>
      <c r="C177" s="17" t="s">
        <v>238</v>
      </c>
      <c r="D177" s="20">
        <v>30533.0</v>
      </c>
      <c r="E177" s="18" t="s">
        <v>54</v>
      </c>
      <c r="F177" s="18" t="s">
        <v>55</v>
      </c>
      <c r="G177" s="19"/>
      <c r="H177" s="19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20">
        <v>46154.0</v>
      </c>
      <c r="B178" s="17" t="s">
        <v>52</v>
      </c>
      <c r="C178" s="17" t="s">
        <v>239</v>
      </c>
      <c r="D178" s="20">
        <v>25924.0</v>
      </c>
      <c r="E178" s="18" t="s">
        <v>54</v>
      </c>
      <c r="F178" s="18" t="s">
        <v>55</v>
      </c>
      <c r="G178" s="19"/>
      <c r="H178" s="19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20">
        <v>46154.0</v>
      </c>
      <c r="B179" s="17" t="s">
        <v>52</v>
      </c>
      <c r="C179" s="17" t="s">
        <v>240</v>
      </c>
      <c r="D179" s="20">
        <v>31240.0</v>
      </c>
      <c r="E179" s="18" t="s">
        <v>54</v>
      </c>
      <c r="F179" s="18" t="s">
        <v>55</v>
      </c>
      <c r="G179" s="19"/>
      <c r="H179" s="19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20">
        <v>46154.0</v>
      </c>
      <c r="B180" s="17" t="s">
        <v>52</v>
      </c>
      <c r="C180" s="17" t="s">
        <v>241</v>
      </c>
      <c r="D180" s="20">
        <v>31177.0</v>
      </c>
      <c r="E180" s="18" t="s">
        <v>54</v>
      </c>
      <c r="F180" s="18" t="s">
        <v>55</v>
      </c>
      <c r="G180" s="19"/>
      <c r="H180" s="19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20">
        <v>46154.0</v>
      </c>
      <c r="B181" s="17" t="s">
        <v>52</v>
      </c>
      <c r="C181" s="17" t="s">
        <v>242</v>
      </c>
      <c r="D181" s="20">
        <v>24724.0</v>
      </c>
      <c r="E181" s="18" t="s">
        <v>54</v>
      </c>
      <c r="F181" s="18" t="s">
        <v>55</v>
      </c>
      <c r="G181" s="19"/>
      <c r="H181" s="19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20">
        <v>46154.0</v>
      </c>
      <c r="B182" s="17" t="s">
        <v>52</v>
      </c>
      <c r="C182" s="17" t="s">
        <v>243</v>
      </c>
      <c r="D182" s="20">
        <v>29480.0</v>
      </c>
      <c r="E182" s="18" t="s">
        <v>54</v>
      </c>
      <c r="F182" s="18" t="s">
        <v>55</v>
      </c>
      <c r="G182" s="19"/>
      <c r="H182" s="19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20">
        <v>46154.0</v>
      </c>
      <c r="B183" s="17" t="s">
        <v>52</v>
      </c>
      <c r="C183" s="17" t="s">
        <v>244</v>
      </c>
      <c r="D183" s="20">
        <v>30400.0</v>
      </c>
      <c r="E183" s="18" t="s">
        <v>54</v>
      </c>
      <c r="F183" s="18" t="s">
        <v>55</v>
      </c>
      <c r="G183" s="19"/>
      <c r="H183" s="19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20">
        <v>46154.0</v>
      </c>
      <c r="B184" s="17" t="s">
        <v>52</v>
      </c>
      <c r="C184" s="17" t="s">
        <v>245</v>
      </c>
      <c r="D184" s="20">
        <v>33238.0</v>
      </c>
      <c r="E184" s="18" t="s">
        <v>54</v>
      </c>
      <c r="F184" s="18" t="s">
        <v>55</v>
      </c>
      <c r="G184" s="19"/>
      <c r="H184" s="19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20">
        <v>46154.0</v>
      </c>
      <c r="B185" s="17" t="s">
        <v>52</v>
      </c>
      <c r="C185" s="17" t="s">
        <v>246</v>
      </c>
      <c r="D185" s="20">
        <v>35333.0</v>
      </c>
      <c r="E185" s="18" t="s">
        <v>54</v>
      </c>
      <c r="F185" s="18" t="s">
        <v>55</v>
      </c>
      <c r="G185" s="19"/>
      <c r="H185" s="19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20">
        <v>46154.0</v>
      </c>
      <c r="B186" s="17" t="s">
        <v>52</v>
      </c>
      <c r="C186" s="17" t="s">
        <v>247</v>
      </c>
      <c r="D186" s="20">
        <v>35802.0</v>
      </c>
      <c r="E186" s="18" t="s">
        <v>54</v>
      </c>
      <c r="F186" s="18" t="s">
        <v>55</v>
      </c>
      <c r="G186" s="19"/>
      <c r="H186" s="19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20">
        <v>46154.0</v>
      </c>
      <c r="B187" s="17" t="s">
        <v>52</v>
      </c>
      <c r="C187" s="17" t="s">
        <v>248</v>
      </c>
      <c r="D187" s="20">
        <v>32543.0</v>
      </c>
      <c r="E187" s="18" t="s">
        <v>54</v>
      </c>
      <c r="F187" s="18" t="s">
        <v>55</v>
      </c>
      <c r="G187" s="19"/>
      <c r="H187" s="19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20">
        <v>46154.0</v>
      </c>
      <c r="B188" s="17" t="s">
        <v>52</v>
      </c>
      <c r="C188" s="17" t="s">
        <v>249</v>
      </c>
      <c r="D188" s="20">
        <v>32543.0</v>
      </c>
      <c r="E188" s="18" t="s">
        <v>54</v>
      </c>
      <c r="F188" s="18" t="s">
        <v>55</v>
      </c>
      <c r="G188" s="19"/>
      <c r="H188" s="19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20">
        <v>46154.0</v>
      </c>
      <c r="B189" s="17" t="s">
        <v>250</v>
      </c>
      <c r="C189" s="17" t="s">
        <v>251</v>
      </c>
      <c r="D189" s="23">
        <v>31344.0</v>
      </c>
      <c r="E189" s="18" t="s">
        <v>74</v>
      </c>
      <c r="F189" s="18" t="s">
        <v>55</v>
      </c>
      <c r="G189" s="19"/>
      <c r="H189" s="19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20">
        <v>46154.0</v>
      </c>
      <c r="B190" s="17" t="s">
        <v>250</v>
      </c>
      <c r="C190" s="17" t="s">
        <v>252</v>
      </c>
      <c r="D190" s="23">
        <v>33566.0</v>
      </c>
      <c r="E190" s="17" t="s">
        <v>74</v>
      </c>
      <c r="F190" s="17" t="s">
        <v>55</v>
      </c>
      <c r="G190" s="19"/>
      <c r="H190" s="19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20">
        <v>46154.0</v>
      </c>
      <c r="B191" s="17" t="s">
        <v>250</v>
      </c>
      <c r="C191" s="17" t="s">
        <v>253</v>
      </c>
      <c r="D191" s="20">
        <v>24559.0</v>
      </c>
      <c r="E191" s="17" t="s">
        <v>74</v>
      </c>
      <c r="F191" s="17" t="s">
        <v>55</v>
      </c>
      <c r="G191" s="19"/>
      <c r="H191" s="19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20">
        <v>46154.0</v>
      </c>
      <c r="B192" s="17" t="s">
        <v>250</v>
      </c>
      <c r="C192" s="17" t="s">
        <v>254</v>
      </c>
      <c r="D192" s="20">
        <v>22841.0</v>
      </c>
      <c r="E192" s="18" t="s">
        <v>74</v>
      </c>
      <c r="F192" s="18" t="s">
        <v>55</v>
      </c>
      <c r="G192" s="19"/>
      <c r="H192" s="19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20">
        <v>46154.0</v>
      </c>
      <c r="B193" s="17" t="s">
        <v>250</v>
      </c>
      <c r="C193" s="17" t="s">
        <v>255</v>
      </c>
      <c r="D193" s="20">
        <v>30887.0</v>
      </c>
      <c r="E193" s="18" t="s">
        <v>74</v>
      </c>
      <c r="F193" s="18" t="s">
        <v>55</v>
      </c>
      <c r="G193" s="19"/>
      <c r="H193" s="19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20">
        <v>46154.0</v>
      </c>
      <c r="B194" s="17" t="s">
        <v>250</v>
      </c>
      <c r="C194" s="17" t="s">
        <v>256</v>
      </c>
      <c r="D194" s="20">
        <v>37154.0</v>
      </c>
      <c r="E194" s="18" t="s">
        <v>74</v>
      </c>
      <c r="F194" s="18" t="s">
        <v>55</v>
      </c>
      <c r="G194" s="19"/>
      <c r="H194" s="19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20">
        <v>46154.0</v>
      </c>
      <c r="B195" s="17" t="s">
        <v>250</v>
      </c>
      <c r="C195" s="17" t="s">
        <v>257</v>
      </c>
      <c r="D195" s="20">
        <v>37411.0</v>
      </c>
      <c r="E195" s="18" t="s">
        <v>74</v>
      </c>
      <c r="F195" s="18" t="s">
        <v>55</v>
      </c>
      <c r="G195" s="19"/>
      <c r="H195" s="19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20">
        <v>46154.0</v>
      </c>
      <c r="B196" s="17" t="s">
        <v>250</v>
      </c>
      <c r="C196" s="17" t="s">
        <v>258</v>
      </c>
      <c r="D196" s="20">
        <v>23862.0</v>
      </c>
      <c r="E196" s="18" t="s">
        <v>74</v>
      </c>
      <c r="F196" s="18" t="s">
        <v>55</v>
      </c>
      <c r="G196" s="19"/>
      <c r="H196" s="19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20">
        <v>46155.0</v>
      </c>
      <c r="B197" s="17" t="s">
        <v>52</v>
      </c>
      <c r="C197" s="17" t="s">
        <v>259</v>
      </c>
      <c r="D197" s="20">
        <v>29037.0</v>
      </c>
      <c r="E197" s="18" t="s">
        <v>54</v>
      </c>
      <c r="F197" s="18" t="s">
        <v>55</v>
      </c>
      <c r="G197" s="19"/>
      <c r="H197" s="19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20">
        <v>46155.0</v>
      </c>
      <c r="B198" s="17" t="s">
        <v>52</v>
      </c>
      <c r="C198" s="17" t="s">
        <v>260</v>
      </c>
      <c r="D198" s="20">
        <v>36187.0</v>
      </c>
      <c r="E198" s="18" t="s">
        <v>74</v>
      </c>
      <c r="F198" s="18" t="s">
        <v>55</v>
      </c>
      <c r="G198" s="19"/>
      <c r="H198" s="19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20">
        <v>46155.0</v>
      </c>
      <c r="B199" s="17" t="s">
        <v>52</v>
      </c>
      <c r="C199" s="17" t="s">
        <v>261</v>
      </c>
      <c r="D199" s="20">
        <v>33022.0</v>
      </c>
      <c r="E199" s="18" t="s">
        <v>54</v>
      </c>
      <c r="F199" s="18" t="s">
        <v>55</v>
      </c>
      <c r="G199" s="19"/>
      <c r="H199" s="19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20">
        <v>46155.0</v>
      </c>
      <c r="B200" s="17" t="s">
        <v>52</v>
      </c>
      <c r="C200" s="17" t="s">
        <v>262</v>
      </c>
      <c r="D200" s="20">
        <v>30967.0</v>
      </c>
      <c r="E200" s="18" t="s">
        <v>74</v>
      </c>
      <c r="F200" s="18" t="s">
        <v>55</v>
      </c>
      <c r="G200" s="19"/>
      <c r="H200" s="19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20">
        <v>46155.0</v>
      </c>
      <c r="B201" s="17" t="s">
        <v>52</v>
      </c>
      <c r="C201" s="17" t="s">
        <v>263</v>
      </c>
      <c r="D201" s="20">
        <v>30797.0</v>
      </c>
      <c r="E201" s="18" t="s">
        <v>54</v>
      </c>
      <c r="F201" s="18" t="s">
        <v>55</v>
      </c>
      <c r="G201" s="19"/>
      <c r="H201" s="19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20">
        <v>46155.0</v>
      </c>
      <c r="B202" s="17" t="s">
        <v>52</v>
      </c>
      <c r="C202" s="17" t="s">
        <v>264</v>
      </c>
      <c r="D202" s="20">
        <v>23073.0</v>
      </c>
      <c r="E202" s="18" t="s">
        <v>74</v>
      </c>
      <c r="F202" s="18" t="s">
        <v>55</v>
      </c>
      <c r="G202" s="19"/>
      <c r="H202" s="19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20">
        <v>46155.0</v>
      </c>
      <c r="B203" s="17" t="s">
        <v>52</v>
      </c>
      <c r="C203" s="17" t="s">
        <v>265</v>
      </c>
      <c r="D203" s="20">
        <v>29598.0</v>
      </c>
      <c r="E203" s="18" t="s">
        <v>54</v>
      </c>
      <c r="F203" s="18" t="s">
        <v>55</v>
      </c>
      <c r="G203" s="19"/>
      <c r="H203" s="19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20">
        <v>46155.0</v>
      </c>
      <c r="B204" s="17" t="s">
        <v>52</v>
      </c>
      <c r="C204" s="17" t="s">
        <v>266</v>
      </c>
      <c r="D204" s="20">
        <v>33472.0</v>
      </c>
      <c r="E204" s="18" t="s">
        <v>54</v>
      </c>
      <c r="F204" s="18" t="s">
        <v>55</v>
      </c>
      <c r="G204" s="19"/>
      <c r="H204" s="19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20">
        <v>46155.0</v>
      </c>
      <c r="B205" s="17" t="s">
        <v>52</v>
      </c>
      <c r="C205" s="17" t="s">
        <v>267</v>
      </c>
      <c r="D205" s="20">
        <v>31910.0</v>
      </c>
      <c r="E205" s="18" t="s">
        <v>74</v>
      </c>
      <c r="F205" s="18" t="s">
        <v>55</v>
      </c>
      <c r="G205" s="19"/>
      <c r="H205" s="19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20">
        <v>46155.0</v>
      </c>
      <c r="B206" s="17" t="s">
        <v>52</v>
      </c>
      <c r="C206" s="17" t="s">
        <v>268</v>
      </c>
      <c r="D206" s="23">
        <v>32500.0</v>
      </c>
      <c r="E206" s="18" t="s">
        <v>54</v>
      </c>
      <c r="F206" s="18" t="s">
        <v>55</v>
      </c>
      <c r="G206" s="19"/>
      <c r="H206" s="19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20">
        <v>46155.0</v>
      </c>
      <c r="B207" s="17" t="s">
        <v>52</v>
      </c>
      <c r="C207" s="17" t="s">
        <v>269</v>
      </c>
      <c r="D207" s="20">
        <v>36388.0</v>
      </c>
      <c r="E207" s="18" t="s">
        <v>54</v>
      </c>
      <c r="F207" s="18" t="s">
        <v>55</v>
      </c>
      <c r="G207" s="19"/>
      <c r="H207" s="19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20">
        <v>46155.0</v>
      </c>
      <c r="B208" s="17" t="s">
        <v>52</v>
      </c>
      <c r="C208" s="17" t="s">
        <v>270</v>
      </c>
      <c r="D208" s="23">
        <v>34668.0</v>
      </c>
      <c r="E208" s="18" t="s">
        <v>54</v>
      </c>
      <c r="F208" s="18" t="s">
        <v>55</v>
      </c>
      <c r="G208" s="19"/>
      <c r="H208" s="19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20">
        <v>46155.0</v>
      </c>
      <c r="B209" s="17" t="s">
        <v>52</v>
      </c>
      <c r="C209" s="17" t="s">
        <v>271</v>
      </c>
      <c r="D209" s="23">
        <v>34649.0</v>
      </c>
      <c r="E209" s="18" t="s">
        <v>54</v>
      </c>
      <c r="F209" s="18" t="s">
        <v>55</v>
      </c>
      <c r="G209" s="19"/>
      <c r="H209" s="19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20">
        <v>46155.0</v>
      </c>
      <c r="B210" s="17" t="s">
        <v>52</v>
      </c>
      <c r="C210" s="17" t="s">
        <v>272</v>
      </c>
      <c r="D210" s="20">
        <v>25051.0</v>
      </c>
      <c r="E210" s="18" t="s">
        <v>54</v>
      </c>
      <c r="F210" s="18" t="s">
        <v>55</v>
      </c>
      <c r="G210" s="19"/>
      <c r="H210" s="19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20">
        <v>46155.0</v>
      </c>
      <c r="B211" s="17" t="s">
        <v>52</v>
      </c>
      <c r="C211" s="17" t="s">
        <v>273</v>
      </c>
      <c r="D211" s="20">
        <v>35252.0</v>
      </c>
      <c r="E211" s="18" t="s">
        <v>54</v>
      </c>
      <c r="F211" s="18" t="s">
        <v>55</v>
      </c>
      <c r="G211" s="19"/>
      <c r="H211" s="19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20">
        <v>46155.0</v>
      </c>
      <c r="B212" s="17" t="s">
        <v>52</v>
      </c>
      <c r="C212" s="17" t="s">
        <v>274</v>
      </c>
      <c r="D212" s="20">
        <v>24331.0</v>
      </c>
      <c r="E212" s="18" t="s">
        <v>74</v>
      </c>
      <c r="F212" s="18" t="s">
        <v>55</v>
      </c>
      <c r="G212" s="19"/>
      <c r="H212" s="19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20">
        <v>46155.0</v>
      </c>
      <c r="B213" s="17" t="s">
        <v>52</v>
      </c>
      <c r="C213" s="17" t="s">
        <v>275</v>
      </c>
      <c r="D213" s="20">
        <v>35447.0</v>
      </c>
      <c r="E213" s="18" t="s">
        <v>74</v>
      </c>
      <c r="F213" s="18" t="s">
        <v>55</v>
      </c>
      <c r="G213" s="19"/>
      <c r="H213" s="19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20">
        <v>46155.0</v>
      </c>
      <c r="B214" s="17" t="s">
        <v>52</v>
      </c>
      <c r="C214" s="17" t="s">
        <v>276</v>
      </c>
      <c r="D214" s="20">
        <v>32414.0</v>
      </c>
      <c r="E214" s="18" t="s">
        <v>74</v>
      </c>
      <c r="F214" s="18" t="s">
        <v>55</v>
      </c>
      <c r="G214" s="19"/>
      <c r="H214" s="19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20">
        <v>46155.0</v>
      </c>
      <c r="B215" s="17" t="s">
        <v>52</v>
      </c>
      <c r="C215" s="17" t="s">
        <v>277</v>
      </c>
      <c r="D215" s="20">
        <v>31869.0</v>
      </c>
      <c r="E215" s="18" t="s">
        <v>74</v>
      </c>
      <c r="F215" s="18" t="s">
        <v>55</v>
      </c>
      <c r="G215" s="19"/>
      <c r="H215" s="19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20">
        <v>46155.0</v>
      </c>
      <c r="B216" s="17" t="s">
        <v>52</v>
      </c>
      <c r="C216" s="17" t="s">
        <v>278</v>
      </c>
      <c r="D216" s="20">
        <v>33843.0</v>
      </c>
      <c r="E216" s="18" t="s">
        <v>74</v>
      </c>
      <c r="F216" s="18" t="s">
        <v>55</v>
      </c>
      <c r="G216" s="19"/>
      <c r="H216" s="19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20">
        <v>46155.0</v>
      </c>
      <c r="B217" s="17" t="s">
        <v>52</v>
      </c>
      <c r="C217" s="17" t="s">
        <v>279</v>
      </c>
      <c r="D217" s="20">
        <v>25300.0</v>
      </c>
      <c r="E217" s="18" t="s">
        <v>54</v>
      </c>
      <c r="F217" s="18" t="s">
        <v>55</v>
      </c>
      <c r="G217" s="19"/>
      <c r="H217" s="19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20">
        <v>46155.0</v>
      </c>
      <c r="B218" s="17" t="s">
        <v>52</v>
      </c>
      <c r="C218" s="17" t="s">
        <v>280</v>
      </c>
      <c r="D218" s="23">
        <v>35031.0</v>
      </c>
      <c r="E218" s="18" t="s">
        <v>54</v>
      </c>
      <c r="F218" s="18" t="s">
        <v>55</v>
      </c>
      <c r="G218" s="19"/>
      <c r="H218" s="19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20">
        <v>46155.0</v>
      </c>
      <c r="B219" s="17" t="s">
        <v>52</v>
      </c>
      <c r="C219" s="17" t="s">
        <v>281</v>
      </c>
      <c r="D219" s="20">
        <v>37701.0</v>
      </c>
      <c r="E219" s="18" t="s">
        <v>74</v>
      </c>
      <c r="F219" s="18" t="s">
        <v>55</v>
      </c>
      <c r="G219" s="19"/>
      <c r="H219" s="19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20">
        <v>46155.0</v>
      </c>
      <c r="B220" s="17" t="s">
        <v>52</v>
      </c>
      <c r="C220" s="17" t="s">
        <v>282</v>
      </c>
      <c r="D220" s="23">
        <v>23696.0</v>
      </c>
      <c r="E220" s="18" t="s">
        <v>54</v>
      </c>
      <c r="F220" s="18" t="s">
        <v>55</v>
      </c>
      <c r="G220" s="19"/>
      <c r="H220" s="19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20">
        <v>46155.0</v>
      </c>
      <c r="B221" s="17" t="s">
        <v>52</v>
      </c>
      <c r="C221" s="17" t="s">
        <v>283</v>
      </c>
      <c r="D221" s="20">
        <v>31428.0</v>
      </c>
      <c r="E221" s="18" t="s">
        <v>54</v>
      </c>
      <c r="F221" s="18" t="s">
        <v>55</v>
      </c>
      <c r="G221" s="19"/>
      <c r="H221" s="19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20">
        <v>46155.0</v>
      </c>
      <c r="B222" s="17" t="s">
        <v>52</v>
      </c>
      <c r="C222" s="17" t="s">
        <v>284</v>
      </c>
      <c r="D222" s="20">
        <v>30705.0</v>
      </c>
      <c r="E222" s="18" t="s">
        <v>54</v>
      </c>
      <c r="F222" s="18" t="s">
        <v>55</v>
      </c>
      <c r="G222" s="19"/>
      <c r="H222" s="19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20">
        <v>46155.0</v>
      </c>
      <c r="B223" s="17" t="s">
        <v>52</v>
      </c>
      <c r="C223" s="17" t="s">
        <v>285</v>
      </c>
      <c r="D223" s="20">
        <v>25541.0</v>
      </c>
      <c r="E223" s="18" t="s">
        <v>54</v>
      </c>
      <c r="F223" s="18" t="s">
        <v>55</v>
      </c>
      <c r="G223" s="19"/>
      <c r="H223" s="19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20">
        <v>46155.0</v>
      </c>
      <c r="B224" s="17" t="s">
        <v>52</v>
      </c>
      <c r="C224" s="17" t="s">
        <v>286</v>
      </c>
      <c r="D224" s="23">
        <v>25186.0</v>
      </c>
      <c r="E224" s="18" t="s">
        <v>74</v>
      </c>
      <c r="F224" s="18" t="s">
        <v>55</v>
      </c>
      <c r="G224" s="19"/>
      <c r="H224" s="19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20">
        <v>46155.0</v>
      </c>
      <c r="B225" s="17" t="s">
        <v>52</v>
      </c>
      <c r="C225" s="17" t="s">
        <v>287</v>
      </c>
      <c r="D225" s="20">
        <v>24836.0</v>
      </c>
      <c r="E225" s="18" t="s">
        <v>74</v>
      </c>
      <c r="F225" s="18" t="s">
        <v>55</v>
      </c>
      <c r="G225" s="19"/>
      <c r="H225" s="19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20">
        <v>46155.0</v>
      </c>
      <c r="B226" s="17" t="s">
        <v>52</v>
      </c>
      <c r="C226" s="17" t="s">
        <v>288</v>
      </c>
      <c r="D226" s="23">
        <v>26445.0</v>
      </c>
      <c r="E226" s="18" t="s">
        <v>54</v>
      </c>
      <c r="F226" s="18" t="s">
        <v>55</v>
      </c>
      <c r="G226" s="19"/>
      <c r="H226" s="19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20">
        <v>46155.0</v>
      </c>
      <c r="B227" s="17" t="s">
        <v>52</v>
      </c>
      <c r="C227" s="17" t="s">
        <v>289</v>
      </c>
      <c r="D227" s="23">
        <v>27211.0</v>
      </c>
      <c r="E227" s="18" t="s">
        <v>54</v>
      </c>
      <c r="F227" s="18" t="s">
        <v>55</v>
      </c>
      <c r="G227" s="19"/>
      <c r="H227" s="19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20">
        <v>46155.0</v>
      </c>
      <c r="B228" s="17" t="s">
        <v>52</v>
      </c>
      <c r="C228" s="17" t="s">
        <v>290</v>
      </c>
      <c r="D228" s="20">
        <v>24627.0</v>
      </c>
      <c r="E228" s="18" t="s">
        <v>74</v>
      </c>
      <c r="F228" s="18" t="s">
        <v>55</v>
      </c>
      <c r="G228" s="19"/>
      <c r="H228" s="19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20">
        <v>46155.0</v>
      </c>
      <c r="B229" s="17" t="s">
        <v>52</v>
      </c>
      <c r="C229" s="17" t="s">
        <v>291</v>
      </c>
      <c r="D229" s="23">
        <v>23022.0</v>
      </c>
      <c r="E229" s="18" t="s">
        <v>54</v>
      </c>
      <c r="F229" s="18" t="s">
        <v>55</v>
      </c>
      <c r="G229" s="19"/>
      <c r="H229" s="19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20">
        <v>46155.0</v>
      </c>
      <c r="B230" s="17" t="s">
        <v>52</v>
      </c>
      <c r="C230" s="17" t="s">
        <v>292</v>
      </c>
      <c r="D230" s="20">
        <v>28472.0</v>
      </c>
      <c r="E230" s="18" t="s">
        <v>74</v>
      </c>
      <c r="F230" s="18" t="s">
        <v>55</v>
      </c>
      <c r="G230" s="19"/>
      <c r="H230" s="19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20">
        <v>46155.0</v>
      </c>
      <c r="B231" s="17" t="s">
        <v>52</v>
      </c>
      <c r="C231" s="17" t="s">
        <v>293</v>
      </c>
      <c r="D231" s="20">
        <v>33558.0</v>
      </c>
      <c r="E231" s="18" t="s">
        <v>74</v>
      </c>
      <c r="F231" s="18" t="s">
        <v>55</v>
      </c>
      <c r="G231" s="19"/>
      <c r="H231" s="19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20">
        <v>46155.0</v>
      </c>
      <c r="B232" s="17" t="s">
        <v>52</v>
      </c>
      <c r="C232" s="17" t="s">
        <v>294</v>
      </c>
      <c r="D232" s="20">
        <v>33093.0</v>
      </c>
      <c r="E232" s="18" t="s">
        <v>74</v>
      </c>
      <c r="F232" s="18" t="s">
        <v>55</v>
      </c>
      <c r="G232" s="19"/>
      <c r="H232" s="19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20">
        <v>46155.0</v>
      </c>
      <c r="B233" s="17" t="s">
        <v>52</v>
      </c>
      <c r="C233" s="17" t="s">
        <v>295</v>
      </c>
      <c r="D233" s="23">
        <v>32856.0</v>
      </c>
      <c r="E233" s="18" t="s">
        <v>54</v>
      </c>
      <c r="F233" s="18" t="s">
        <v>55</v>
      </c>
      <c r="G233" s="19"/>
      <c r="H233" s="19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20">
        <v>46155.0</v>
      </c>
      <c r="B234" s="17" t="s">
        <v>52</v>
      </c>
      <c r="C234" s="17" t="s">
        <v>296</v>
      </c>
      <c r="D234" s="20">
        <v>27101.0</v>
      </c>
      <c r="E234" s="18" t="s">
        <v>74</v>
      </c>
      <c r="F234" s="18" t="s">
        <v>55</v>
      </c>
      <c r="G234" s="19"/>
      <c r="H234" s="19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20">
        <v>46155.0</v>
      </c>
      <c r="B235" s="17" t="s">
        <v>52</v>
      </c>
      <c r="C235" s="17" t="s">
        <v>297</v>
      </c>
      <c r="D235" s="20">
        <v>32201.0</v>
      </c>
      <c r="E235" s="18" t="s">
        <v>74</v>
      </c>
      <c r="F235" s="18" t="s">
        <v>55</v>
      </c>
      <c r="G235" s="19"/>
      <c r="H235" s="19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20">
        <v>46155.0</v>
      </c>
      <c r="B236" s="17" t="s">
        <v>52</v>
      </c>
      <c r="C236" s="17" t="s">
        <v>298</v>
      </c>
      <c r="D236" s="23">
        <v>33204.0</v>
      </c>
      <c r="E236" s="18" t="s">
        <v>54</v>
      </c>
      <c r="F236" s="18" t="s">
        <v>55</v>
      </c>
      <c r="G236" s="19"/>
      <c r="H236" s="19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20">
        <v>46155.0</v>
      </c>
      <c r="B237" s="17" t="s">
        <v>52</v>
      </c>
      <c r="C237" s="17" t="s">
        <v>299</v>
      </c>
      <c r="D237" s="20">
        <v>34971.0</v>
      </c>
      <c r="E237" s="18" t="s">
        <v>54</v>
      </c>
      <c r="F237" s="18" t="s">
        <v>55</v>
      </c>
      <c r="G237" s="19"/>
      <c r="H237" s="19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20">
        <v>46155.0</v>
      </c>
      <c r="B238" s="17" t="s">
        <v>52</v>
      </c>
      <c r="C238" s="17" t="s">
        <v>300</v>
      </c>
      <c r="D238" s="20">
        <v>34537.0</v>
      </c>
      <c r="E238" s="18" t="s">
        <v>54</v>
      </c>
      <c r="F238" s="18" t="s">
        <v>55</v>
      </c>
      <c r="G238" s="19"/>
      <c r="H238" s="19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20">
        <v>46155.0</v>
      </c>
      <c r="B239" s="17" t="s">
        <v>52</v>
      </c>
      <c r="C239" s="17" t="s">
        <v>301</v>
      </c>
      <c r="D239" s="20">
        <v>28210.0</v>
      </c>
      <c r="E239" s="18" t="s">
        <v>74</v>
      </c>
      <c r="F239" s="18" t="s">
        <v>55</v>
      </c>
      <c r="G239" s="19"/>
      <c r="H239" s="19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20">
        <v>46155.0</v>
      </c>
      <c r="B240" s="17" t="s">
        <v>52</v>
      </c>
      <c r="C240" s="17" t="s">
        <v>302</v>
      </c>
      <c r="D240" s="20">
        <v>28153.0</v>
      </c>
      <c r="E240" s="18" t="s">
        <v>74</v>
      </c>
      <c r="F240" s="18" t="s">
        <v>55</v>
      </c>
      <c r="G240" s="19"/>
      <c r="H240" s="19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20">
        <v>46155.0</v>
      </c>
      <c r="B241" s="17" t="s">
        <v>52</v>
      </c>
      <c r="C241" s="17" t="s">
        <v>303</v>
      </c>
      <c r="D241" s="20">
        <v>28087.0</v>
      </c>
      <c r="E241" s="18" t="s">
        <v>74</v>
      </c>
      <c r="F241" s="18" t="s">
        <v>55</v>
      </c>
      <c r="G241" s="19"/>
      <c r="H241" s="19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20">
        <v>46155.0</v>
      </c>
      <c r="B242" s="17" t="s">
        <v>52</v>
      </c>
      <c r="C242" s="17" t="s">
        <v>304</v>
      </c>
      <c r="D242" s="20">
        <v>24342.0</v>
      </c>
      <c r="E242" s="18" t="s">
        <v>54</v>
      </c>
      <c r="F242" s="18" t="s">
        <v>55</v>
      </c>
      <c r="G242" s="19"/>
      <c r="H242" s="19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20">
        <v>46156.0</v>
      </c>
      <c r="B243" s="17" t="s">
        <v>52</v>
      </c>
      <c r="C243" s="17" t="s">
        <v>305</v>
      </c>
      <c r="D243" s="20">
        <v>32762.0</v>
      </c>
      <c r="E243" s="17" t="s">
        <v>74</v>
      </c>
      <c r="F243" s="17" t="s">
        <v>55</v>
      </c>
      <c r="G243" s="19"/>
      <c r="H243" s="19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20">
        <v>46156.0</v>
      </c>
      <c r="B244" s="17" t="s">
        <v>52</v>
      </c>
      <c r="C244" s="17" t="s">
        <v>306</v>
      </c>
      <c r="D244" s="20">
        <v>26697.0</v>
      </c>
      <c r="E244" s="18" t="s">
        <v>74</v>
      </c>
      <c r="F244" s="18" t="s">
        <v>55</v>
      </c>
      <c r="G244" s="19"/>
      <c r="H244" s="19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20">
        <v>46156.0</v>
      </c>
      <c r="B245" s="17" t="s">
        <v>52</v>
      </c>
      <c r="C245" s="17" t="s">
        <v>307</v>
      </c>
      <c r="D245" s="20">
        <v>27691.0</v>
      </c>
      <c r="E245" s="18" t="s">
        <v>74</v>
      </c>
      <c r="F245" s="18" t="s">
        <v>55</v>
      </c>
      <c r="G245" s="19"/>
      <c r="H245" s="19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20">
        <v>46156.0</v>
      </c>
      <c r="B246" s="17" t="s">
        <v>52</v>
      </c>
      <c r="C246" s="17" t="s">
        <v>308</v>
      </c>
      <c r="D246" s="20">
        <v>26775.0</v>
      </c>
      <c r="E246" s="18" t="s">
        <v>74</v>
      </c>
      <c r="F246" s="18" t="s">
        <v>55</v>
      </c>
      <c r="G246" s="19"/>
      <c r="H246" s="19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20">
        <v>46156.0</v>
      </c>
      <c r="B247" s="17" t="s">
        <v>52</v>
      </c>
      <c r="C247" s="17" t="s">
        <v>309</v>
      </c>
      <c r="D247" s="20">
        <v>31642.0</v>
      </c>
      <c r="E247" s="18" t="s">
        <v>54</v>
      </c>
      <c r="F247" s="18" t="s">
        <v>55</v>
      </c>
      <c r="G247" s="19"/>
      <c r="H247" s="19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20">
        <v>46156.0</v>
      </c>
      <c r="B248" s="17" t="s">
        <v>52</v>
      </c>
      <c r="C248" s="17" t="s">
        <v>310</v>
      </c>
      <c r="D248" s="20">
        <v>31312.0</v>
      </c>
      <c r="E248" s="18" t="s">
        <v>54</v>
      </c>
      <c r="F248" s="18" t="s">
        <v>55</v>
      </c>
      <c r="G248" s="19"/>
      <c r="H248" s="19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20">
        <v>46156.0</v>
      </c>
      <c r="B249" s="17" t="s">
        <v>52</v>
      </c>
      <c r="C249" s="17" t="s">
        <v>311</v>
      </c>
      <c r="D249" s="20">
        <v>31993.0</v>
      </c>
      <c r="E249" s="18" t="s">
        <v>54</v>
      </c>
      <c r="F249" s="18" t="s">
        <v>55</v>
      </c>
      <c r="G249" s="19"/>
      <c r="H249" s="19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20">
        <v>46156.0</v>
      </c>
      <c r="B250" s="17" t="s">
        <v>52</v>
      </c>
      <c r="C250" s="17" t="s">
        <v>312</v>
      </c>
      <c r="D250" s="20">
        <v>27820.0</v>
      </c>
      <c r="E250" s="18" t="s">
        <v>54</v>
      </c>
      <c r="F250" s="18" t="s">
        <v>55</v>
      </c>
      <c r="G250" s="19"/>
      <c r="H250" s="19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20">
        <v>46156.0</v>
      </c>
      <c r="B251" s="17" t="s">
        <v>52</v>
      </c>
      <c r="C251" s="17" t="s">
        <v>313</v>
      </c>
      <c r="D251" s="20">
        <v>24044.0</v>
      </c>
      <c r="E251" s="18" t="s">
        <v>54</v>
      </c>
      <c r="F251" s="18" t="s">
        <v>55</v>
      </c>
      <c r="G251" s="19"/>
      <c r="H251" s="19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20">
        <v>46156.0</v>
      </c>
      <c r="B252" s="17" t="s">
        <v>52</v>
      </c>
      <c r="C252" s="17" t="s">
        <v>314</v>
      </c>
      <c r="D252" s="23">
        <v>30309.0</v>
      </c>
      <c r="E252" s="18" t="s">
        <v>54</v>
      </c>
      <c r="F252" s="18" t="s">
        <v>55</v>
      </c>
      <c r="G252" s="19"/>
      <c r="H252" s="19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20">
        <v>46156.0</v>
      </c>
      <c r="B253" s="17" t="s">
        <v>52</v>
      </c>
      <c r="C253" s="17" t="s">
        <v>315</v>
      </c>
      <c r="D253" s="20">
        <v>33701.0</v>
      </c>
      <c r="E253" s="18" t="s">
        <v>54</v>
      </c>
      <c r="F253" s="18" t="s">
        <v>55</v>
      </c>
      <c r="G253" s="19"/>
      <c r="H253" s="19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20">
        <v>46156.0</v>
      </c>
      <c r="B254" s="17" t="s">
        <v>52</v>
      </c>
      <c r="C254" s="17" t="s">
        <v>316</v>
      </c>
      <c r="D254" s="20">
        <v>27728.0</v>
      </c>
      <c r="E254" s="18" t="s">
        <v>54</v>
      </c>
      <c r="F254" s="18" t="s">
        <v>55</v>
      </c>
      <c r="G254" s="19"/>
      <c r="H254" s="19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20">
        <v>46156.0</v>
      </c>
      <c r="B255" s="17" t="s">
        <v>52</v>
      </c>
      <c r="C255" s="17" t="s">
        <v>317</v>
      </c>
      <c r="D255" s="20">
        <v>31916.0</v>
      </c>
      <c r="E255" s="18" t="s">
        <v>54</v>
      </c>
      <c r="F255" s="18" t="s">
        <v>55</v>
      </c>
      <c r="G255" s="19"/>
      <c r="H255" s="19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20">
        <v>46156.0</v>
      </c>
      <c r="B256" s="17" t="s">
        <v>52</v>
      </c>
      <c r="C256" s="17" t="s">
        <v>318</v>
      </c>
      <c r="D256" s="20">
        <v>31328.0</v>
      </c>
      <c r="E256" s="18" t="s">
        <v>54</v>
      </c>
      <c r="F256" s="18" t="s">
        <v>55</v>
      </c>
      <c r="G256" s="19"/>
      <c r="H256" s="19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20">
        <v>46156.0</v>
      </c>
      <c r="B257" s="17" t="s">
        <v>52</v>
      </c>
      <c r="C257" s="17" t="s">
        <v>319</v>
      </c>
      <c r="D257" s="20">
        <v>35736.0</v>
      </c>
      <c r="E257" s="18" t="s">
        <v>54</v>
      </c>
      <c r="F257" s="18" t="s">
        <v>55</v>
      </c>
      <c r="G257" s="19"/>
      <c r="H257" s="19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20">
        <v>46156.0</v>
      </c>
      <c r="B258" s="17" t="s">
        <v>52</v>
      </c>
      <c r="C258" s="17" t="s">
        <v>320</v>
      </c>
      <c r="D258" s="20">
        <v>27854.0</v>
      </c>
      <c r="E258" s="18" t="s">
        <v>54</v>
      </c>
      <c r="F258" s="18" t="s">
        <v>55</v>
      </c>
      <c r="G258" s="19"/>
      <c r="H258" s="19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20">
        <v>46156.0</v>
      </c>
      <c r="B259" s="17" t="s">
        <v>52</v>
      </c>
      <c r="C259" s="17" t="s">
        <v>321</v>
      </c>
      <c r="D259" s="20">
        <v>29471.0</v>
      </c>
      <c r="E259" s="18" t="s">
        <v>54</v>
      </c>
      <c r="F259" s="18" t="s">
        <v>55</v>
      </c>
      <c r="G259" s="19"/>
      <c r="H259" s="19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20">
        <v>46156.0</v>
      </c>
      <c r="B260" s="17" t="s">
        <v>52</v>
      </c>
      <c r="C260" s="17" t="s">
        <v>322</v>
      </c>
      <c r="D260" s="20">
        <v>28981.0</v>
      </c>
      <c r="E260" s="18" t="s">
        <v>54</v>
      </c>
      <c r="F260" s="18" t="s">
        <v>55</v>
      </c>
      <c r="G260" s="19"/>
      <c r="H260" s="19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20">
        <v>46156.0</v>
      </c>
      <c r="B261" s="17" t="s">
        <v>52</v>
      </c>
      <c r="C261" s="17" t="s">
        <v>323</v>
      </c>
      <c r="D261" s="20">
        <v>36568.0</v>
      </c>
      <c r="E261" s="18" t="s">
        <v>54</v>
      </c>
      <c r="F261" s="18" t="s">
        <v>55</v>
      </c>
      <c r="G261" s="19"/>
      <c r="H261" s="19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20">
        <v>46156.0</v>
      </c>
      <c r="B262" s="17" t="s">
        <v>52</v>
      </c>
      <c r="C262" s="17" t="s">
        <v>324</v>
      </c>
      <c r="D262" s="20">
        <v>29663.0</v>
      </c>
      <c r="E262" s="18" t="s">
        <v>54</v>
      </c>
      <c r="F262" s="18" t="s">
        <v>55</v>
      </c>
      <c r="G262" s="19"/>
      <c r="H262" s="19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20">
        <v>46156.0</v>
      </c>
      <c r="B263" s="17" t="s">
        <v>52</v>
      </c>
      <c r="C263" s="17" t="s">
        <v>325</v>
      </c>
      <c r="D263" s="20">
        <v>30932.0</v>
      </c>
      <c r="E263" s="18" t="s">
        <v>54</v>
      </c>
      <c r="F263" s="18" t="s">
        <v>55</v>
      </c>
      <c r="G263" s="19"/>
      <c r="H263" s="19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20">
        <v>46156.0</v>
      </c>
      <c r="B264" s="17" t="s">
        <v>52</v>
      </c>
      <c r="C264" s="17" t="s">
        <v>326</v>
      </c>
      <c r="D264" s="20">
        <v>25046.0</v>
      </c>
      <c r="E264" s="18" t="s">
        <v>54</v>
      </c>
      <c r="F264" s="18" t="s">
        <v>55</v>
      </c>
      <c r="G264" s="19"/>
      <c r="H264" s="19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20">
        <v>46156.0</v>
      </c>
      <c r="B265" s="17" t="s">
        <v>52</v>
      </c>
      <c r="C265" s="17" t="s">
        <v>327</v>
      </c>
      <c r="D265" s="20">
        <v>28320.0</v>
      </c>
      <c r="E265" s="18" t="s">
        <v>54</v>
      </c>
      <c r="F265" s="18" t="s">
        <v>55</v>
      </c>
      <c r="G265" s="19"/>
      <c r="H265" s="19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20">
        <v>46156.0</v>
      </c>
      <c r="B266" s="17" t="s">
        <v>52</v>
      </c>
      <c r="C266" s="17" t="s">
        <v>328</v>
      </c>
      <c r="D266" s="20">
        <v>33030.0</v>
      </c>
      <c r="E266" s="18" t="s">
        <v>54</v>
      </c>
      <c r="F266" s="18" t="s">
        <v>55</v>
      </c>
      <c r="G266" s="19"/>
      <c r="H266" s="19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20">
        <v>46156.0</v>
      </c>
      <c r="B267" s="17" t="s">
        <v>52</v>
      </c>
      <c r="C267" s="17" t="s">
        <v>329</v>
      </c>
      <c r="D267" s="20">
        <v>34660.0</v>
      </c>
      <c r="E267" s="18" t="s">
        <v>54</v>
      </c>
      <c r="F267" s="18" t="s">
        <v>55</v>
      </c>
      <c r="G267" s="19"/>
      <c r="H267" s="19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20">
        <v>46158.0</v>
      </c>
      <c r="B268" s="17" t="s">
        <v>52</v>
      </c>
      <c r="C268" s="17" t="s">
        <v>330</v>
      </c>
      <c r="D268" s="20">
        <v>22575.0</v>
      </c>
      <c r="E268" s="18" t="s">
        <v>74</v>
      </c>
      <c r="F268" s="18" t="s">
        <v>55</v>
      </c>
      <c r="G268" s="19"/>
      <c r="H268" s="19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20">
        <v>46158.0</v>
      </c>
      <c r="B269" s="17" t="s">
        <v>52</v>
      </c>
      <c r="C269" s="17" t="s">
        <v>331</v>
      </c>
      <c r="D269" s="20">
        <v>21336.0</v>
      </c>
      <c r="E269" s="18" t="s">
        <v>74</v>
      </c>
      <c r="F269" s="18" t="s">
        <v>55</v>
      </c>
      <c r="G269" s="19"/>
      <c r="H269" s="19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20">
        <v>46158.0</v>
      </c>
      <c r="B270" s="17" t="s">
        <v>52</v>
      </c>
      <c r="C270" s="17" t="s">
        <v>332</v>
      </c>
      <c r="D270" s="20">
        <v>25243.0</v>
      </c>
      <c r="E270" s="18" t="s">
        <v>74</v>
      </c>
      <c r="F270" s="18" t="s">
        <v>55</v>
      </c>
      <c r="G270" s="19"/>
      <c r="H270" s="19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20">
        <v>46158.0</v>
      </c>
      <c r="B271" s="17" t="s">
        <v>52</v>
      </c>
      <c r="C271" s="17" t="s">
        <v>333</v>
      </c>
      <c r="D271" s="20">
        <v>35245.0</v>
      </c>
      <c r="E271" s="18" t="s">
        <v>74</v>
      </c>
      <c r="F271" s="18" t="s">
        <v>55</v>
      </c>
      <c r="G271" s="19"/>
      <c r="H271" s="19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20">
        <v>46158.0</v>
      </c>
      <c r="B272" s="17" t="s">
        <v>52</v>
      </c>
      <c r="C272" s="17" t="s">
        <v>334</v>
      </c>
      <c r="D272" s="20">
        <v>35760.0</v>
      </c>
      <c r="E272" s="18" t="s">
        <v>54</v>
      </c>
      <c r="F272" s="18" t="s">
        <v>55</v>
      </c>
      <c r="G272" s="19"/>
      <c r="H272" s="19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20">
        <v>46158.0</v>
      </c>
      <c r="B273" s="17" t="s">
        <v>52</v>
      </c>
      <c r="C273" s="17" t="s">
        <v>335</v>
      </c>
      <c r="D273" s="20">
        <v>27422.0</v>
      </c>
      <c r="E273" s="18" t="s">
        <v>54</v>
      </c>
      <c r="F273" s="18" t="s">
        <v>55</v>
      </c>
      <c r="G273" s="19"/>
      <c r="H273" s="19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20">
        <v>46158.0</v>
      </c>
      <c r="B274" s="17" t="s">
        <v>52</v>
      </c>
      <c r="C274" s="17" t="s">
        <v>336</v>
      </c>
      <c r="D274" s="20">
        <v>32741.0</v>
      </c>
      <c r="E274" s="18" t="s">
        <v>54</v>
      </c>
      <c r="F274" s="18" t="s">
        <v>55</v>
      </c>
      <c r="G274" s="19"/>
      <c r="H274" s="19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20">
        <v>46158.0</v>
      </c>
      <c r="B275" s="17" t="s">
        <v>52</v>
      </c>
      <c r="C275" s="17" t="s">
        <v>337</v>
      </c>
      <c r="D275" s="20">
        <v>27652.0</v>
      </c>
      <c r="E275" s="18" t="s">
        <v>54</v>
      </c>
      <c r="F275" s="18" t="s">
        <v>55</v>
      </c>
      <c r="G275" s="19"/>
      <c r="H275" s="19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20">
        <v>46158.0</v>
      </c>
      <c r="B276" s="17" t="s">
        <v>52</v>
      </c>
      <c r="C276" s="17" t="s">
        <v>338</v>
      </c>
      <c r="D276" s="20">
        <v>27410.0</v>
      </c>
      <c r="E276" s="18" t="s">
        <v>54</v>
      </c>
      <c r="F276" s="18" t="s">
        <v>55</v>
      </c>
      <c r="G276" s="19"/>
      <c r="H276" s="19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20">
        <v>46158.0</v>
      </c>
      <c r="B277" s="17" t="s">
        <v>52</v>
      </c>
      <c r="C277" s="17" t="s">
        <v>339</v>
      </c>
      <c r="D277" s="20">
        <v>31167.0</v>
      </c>
      <c r="E277" s="18" t="s">
        <v>54</v>
      </c>
      <c r="F277" s="18" t="s">
        <v>55</v>
      </c>
      <c r="G277" s="19"/>
      <c r="H277" s="19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20">
        <v>46158.0</v>
      </c>
      <c r="B278" s="17" t="s">
        <v>52</v>
      </c>
      <c r="C278" s="17" t="s">
        <v>340</v>
      </c>
      <c r="D278" s="20">
        <v>34422.0</v>
      </c>
      <c r="E278" s="18" t="s">
        <v>54</v>
      </c>
      <c r="F278" s="18" t="s">
        <v>55</v>
      </c>
      <c r="G278" s="19"/>
      <c r="H278" s="19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20">
        <v>46160.0</v>
      </c>
      <c r="B279" s="17" t="s">
        <v>52</v>
      </c>
      <c r="C279" s="17" t="s">
        <v>341</v>
      </c>
      <c r="D279" s="23">
        <v>31375.0</v>
      </c>
      <c r="E279" s="18" t="s">
        <v>54</v>
      </c>
      <c r="F279" s="18" t="s">
        <v>55</v>
      </c>
      <c r="G279" s="19"/>
      <c r="H279" s="19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20">
        <v>46160.0</v>
      </c>
      <c r="B280" s="17" t="s">
        <v>52</v>
      </c>
      <c r="C280" s="17" t="s">
        <v>342</v>
      </c>
      <c r="D280" s="20">
        <v>28742.0</v>
      </c>
      <c r="E280" s="18" t="s">
        <v>54</v>
      </c>
      <c r="F280" s="18" t="s">
        <v>55</v>
      </c>
      <c r="G280" s="19"/>
      <c r="H280" s="19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20">
        <v>46160.0</v>
      </c>
      <c r="B281" s="17" t="s">
        <v>52</v>
      </c>
      <c r="C281" s="17" t="s">
        <v>343</v>
      </c>
      <c r="D281" s="20">
        <v>31255.0</v>
      </c>
      <c r="E281" s="18" t="s">
        <v>54</v>
      </c>
      <c r="F281" s="18" t="s">
        <v>55</v>
      </c>
      <c r="G281" s="19"/>
      <c r="H281" s="19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20">
        <v>46160.0</v>
      </c>
      <c r="B282" s="17" t="s">
        <v>52</v>
      </c>
      <c r="C282" s="17" t="s">
        <v>344</v>
      </c>
      <c r="D282" s="20">
        <v>28407.0</v>
      </c>
      <c r="E282" s="18" t="s">
        <v>54</v>
      </c>
      <c r="F282" s="18" t="s">
        <v>55</v>
      </c>
      <c r="G282" s="19"/>
      <c r="H282" s="19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20">
        <v>46160.0</v>
      </c>
      <c r="B283" s="17" t="s">
        <v>52</v>
      </c>
      <c r="C283" s="17" t="s">
        <v>345</v>
      </c>
      <c r="D283" s="20">
        <v>30073.0</v>
      </c>
      <c r="E283" s="18" t="s">
        <v>54</v>
      </c>
      <c r="F283" s="18" t="s">
        <v>55</v>
      </c>
      <c r="G283" s="19"/>
      <c r="H283" s="19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20">
        <v>46160.0</v>
      </c>
      <c r="B284" s="17" t="s">
        <v>52</v>
      </c>
      <c r="C284" s="17" t="s">
        <v>346</v>
      </c>
      <c r="D284" s="20">
        <v>30572.0</v>
      </c>
      <c r="E284" s="18" t="s">
        <v>54</v>
      </c>
      <c r="F284" s="18" t="s">
        <v>55</v>
      </c>
      <c r="G284" s="19"/>
      <c r="H284" s="19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20">
        <v>46160.0</v>
      </c>
      <c r="B285" s="17" t="s">
        <v>52</v>
      </c>
      <c r="C285" s="17" t="s">
        <v>347</v>
      </c>
      <c r="D285" s="20">
        <v>23418.0</v>
      </c>
      <c r="E285" s="18" t="s">
        <v>54</v>
      </c>
      <c r="F285" s="18" t="s">
        <v>55</v>
      </c>
      <c r="G285" s="19"/>
      <c r="H285" s="19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20">
        <v>46160.0</v>
      </c>
      <c r="B286" s="17" t="s">
        <v>52</v>
      </c>
      <c r="C286" s="17" t="s">
        <v>348</v>
      </c>
      <c r="D286" s="20">
        <v>30974.0</v>
      </c>
      <c r="E286" s="18" t="s">
        <v>54</v>
      </c>
      <c r="F286" s="18" t="s">
        <v>55</v>
      </c>
      <c r="G286" s="19"/>
      <c r="H286" s="19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20">
        <v>46160.0</v>
      </c>
      <c r="B287" s="17" t="s">
        <v>52</v>
      </c>
      <c r="C287" s="17" t="s">
        <v>349</v>
      </c>
      <c r="D287" s="20">
        <v>25286.0</v>
      </c>
      <c r="E287" s="18" t="s">
        <v>54</v>
      </c>
      <c r="F287" s="18" t="s">
        <v>55</v>
      </c>
      <c r="G287" s="18"/>
      <c r="H287" s="18" t="s">
        <v>350</v>
      </c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20">
        <v>46160.0</v>
      </c>
      <c r="B288" s="17" t="s">
        <v>52</v>
      </c>
      <c r="C288" s="17" t="s">
        <v>351</v>
      </c>
      <c r="D288" s="20">
        <v>33919.0</v>
      </c>
      <c r="E288" s="18" t="s">
        <v>54</v>
      </c>
      <c r="F288" s="18" t="s">
        <v>55</v>
      </c>
      <c r="G288" s="19"/>
      <c r="H288" s="19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20">
        <v>46160.0</v>
      </c>
      <c r="B289" s="17" t="s">
        <v>352</v>
      </c>
      <c r="C289" s="17" t="s">
        <v>353</v>
      </c>
      <c r="D289" s="20">
        <v>31318.0</v>
      </c>
      <c r="E289" s="18" t="s">
        <v>74</v>
      </c>
      <c r="F289" s="18" t="s">
        <v>55</v>
      </c>
      <c r="G289" s="19"/>
      <c r="H289" s="19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20">
        <v>46160.0</v>
      </c>
      <c r="B290" s="17" t="s">
        <v>352</v>
      </c>
      <c r="C290" s="17" t="s">
        <v>354</v>
      </c>
      <c r="D290" s="20">
        <v>28676.0</v>
      </c>
      <c r="E290" s="18" t="s">
        <v>74</v>
      </c>
      <c r="F290" s="18" t="s">
        <v>55</v>
      </c>
      <c r="G290" s="19"/>
      <c r="H290" s="19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20">
        <v>46160.0</v>
      </c>
      <c r="B291" s="17" t="s">
        <v>352</v>
      </c>
      <c r="C291" s="17" t="s">
        <v>355</v>
      </c>
      <c r="D291" s="20">
        <v>39314.0</v>
      </c>
      <c r="E291" s="18" t="s">
        <v>74</v>
      </c>
      <c r="F291" s="18" t="s">
        <v>55</v>
      </c>
      <c r="G291" s="19"/>
      <c r="H291" s="19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20">
        <v>46160.0</v>
      </c>
      <c r="B292" s="17" t="s">
        <v>352</v>
      </c>
      <c r="C292" s="17" t="s">
        <v>356</v>
      </c>
      <c r="D292" s="20">
        <v>21830.0</v>
      </c>
      <c r="E292" s="18" t="s">
        <v>74</v>
      </c>
      <c r="F292" s="18" t="s">
        <v>55</v>
      </c>
      <c r="G292" s="19"/>
      <c r="H292" s="19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20">
        <v>46160.0</v>
      </c>
      <c r="B293" s="17" t="s">
        <v>352</v>
      </c>
      <c r="C293" s="17" t="s">
        <v>357</v>
      </c>
      <c r="D293" s="20">
        <v>31850.0</v>
      </c>
      <c r="E293" s="18" t="s">
        <v>74</v>
      </c>
      <c r="F293" s="18" t="s">
        <v>55</v>
      </c>
      <c r="G293" s="19"/>
      <c r="H293" s="19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20">
        <v>46160.0</v>
      </c>
      <c r="B294" s="17" t="s">
        <v>352</v>
      </c>
      <c r="C294" s="17" t="s">
        <v>358</v>
      </c>
      <c r="D294" s="20">
        <v>28333.0</v>
      </c>
      <c r="E294" s="18" t="s">
        <v>74</v>
      </c>
      <c r="F294" s="18" t="s">
        <v>55</v>
      </c>
      <c r="G294" s="19"/>
      <c r="H294" s="19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20">
        <v>46160.0</v>
      </c>
      <c r="B295" s="17" t="s">
        <v>352</v>
      </c>
      <c r="C295" s="17" t="s">
        <v>359</v>
      </c>
      <c r="D295" s="20">
        <v>35431.0</v>
      </c>
      <c r="E295" s="18" t="s">
        <v>81</v>
      </c>
      <c r="F295" s="18" t="s">
        <v>55</v>
      </c>
      <c r="G295" s="19"/>
      <c r="H295" s="19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20">
        <v>46160.0</v>
      </c>
      <c r="B296" s="17" t="s">
        <v>352</v>
      </c>
      <c r="C296" s="17" t="s">
        <v>360</v>
      </c>
      <c r="D296" s="20">
        <v>36056.0</v>
      </c>
      <c r="E296" s="18" t="s">
        <v>81</v>
      </c>
      <c r="F296" s="18" t="s">
        <v>55</v>
      </c>
      <c r="G296" s="19"/>
      <c r="H296" s="19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20">
        <v>46160.0</v>
      </c>
      <c r="B297" s="17" t="s">
        <v>352</v>
      </c>
      <c r="C297" s="17" t="s">
        <v>361</v>
      </c>
      <c r="D297" s="20">
        <v>34906.0</v>
      </c>
      <c r="E297" s="18" t="s">
        <v>81</v>
      </c>
      <c r="F297" s="18" t="s">
        <v>55</v>
      </c>
      <c r="G297" s="19"/>
      <c r="H297" s="19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20">
        <v>46160.0</v>
      </c>
      <c r="B298" s="17" t="s">
        <v>352</v>
      </c>
      <c r="C298" s="17" t="s">
        <v>362</v>
      </c>
      <c r="D298" s="23">
        <v>24773.0</v>
      </c>
      <c r="E298" s="18" t="s">
        <v>81</v>
      </c>
      <c r="F298" s="18" t="s">
        <v>55</v>
      </c>
      <c r="G298" s="19"/>
      <c r="H298" s="19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20">
        <v>46160.0</v>
      </c>
      <c r="B299" s="17" t="s">
        <v>352</v>
      </c>
      <c r="C299" s="17" t="s">
        <v>363</v>
      </c>
      <c r="D299" s="20">
        <v>30752.0</v>
      </c>
      <c r="E299" s="18" t="s">
        <v>81</v>
      </c>
      <c r="F299" s="18" t="s">
        <v>55</v>
      </c>
      <c r="G299" s="19"/>
      <c r="H299" s="19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20">
        <v>46160.0</v>
      </c>
      <c r="B300" s="17" t="s">
        <v>352</v>
      </c>
      <c r="C300" s="17" t="s">
        <v>364</v>
      </c>
      <c r="D300" s="20">
        <v>32085.0</v>
      </c>
      <c r="E300" s="18" t="s">
        <v>81</v>
      </c>
      <c r="F300" s="18" t="s">
        <v>55</v>
      </c>
      <c r="G300" s="19"/>
      <c r="H300" s="19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20">
        <v>46161.0</v>
      </c>
      <c r="B301" s="17" t="s">
        <v>52</v>
      </c>
      <c r="C301" s="17" t="s">
        <v>365</v>
      </c>
      <c r="D301" s="20">
        <v>38240.0</v>
      </c>
      <c r="E301" s="18" t="s">
        <v>54</v>
      </c>
      <c r="F301" s="18" t="s">
        <v>55</v>
      </c>
      <c r="G301" s="19"/>
      <c r="H301" s="19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20">
        <v>46161.0</v>
      </c>
      <c r="B302" s="17" t="s">
        <v>52</v>
      </c>
      <c r="C302" s="17" t="s">
        <v>366</v>
      </c>
      <c r="D302" s="20">
        <v>38817.0</v>
      </c>
      <c r="E302" s="18" t="s">
        <v>54</v>
      </c>
      <c r="F302" s="18" t="s">
        <v>55</v>
      </c>
      <c r="G302" s="19"/>
      <c r="H302" s="19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20">
        <v>46161.0</v>
      </c>
      <c r="B303" s="17" t="s">
        <v>52</v>
      </c>
      <c r="C303" s="17" t="s">
        <v>367</v>
      </c>
      <c r="D303" s="20">
        <v>25936.0</v>
      </c>
      <c r="E303" s="18" t="s">
        <v>54</v>
      </c>
      <c r="F303" s="18" t="s">
        <v>55</v>
      </c>
      <c r="G303" s="19"/>
      <c r="H303" s="19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20">
        <v>46161.0</v>
      </c>
      <c r="B304" s="17" t="s">
        <v>52</v>
      </c>
      <c r="C304" s="17" t="s">
        <v>368</v>
      </c>
      <c r="D304" s="20">
        <v>30475.0</v>
      </c>
      <c r="E304" s="18" t="s">
        <v>54</v>
      </c>
      <c r="F304" s="18" t="s">
        <v>55</v>
      </c>
      <c r="G304" s="19"/>
      <c r="H304" s="19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20">
        <v>46161.0</v>
      </c>
      <c r="B305" s="17" t="s">
        <v>52</v>
      </c>
      <c r="C305" s="17" t="s">
        <v>369</v>
      </c>
      <c r="D305" s="23">
        <v>34261.0</v>
      </c>
      <c r="E305" s="18" t="s">
        <v>74</v>
      </c>
      <c r="F305" s="18" t="s">
        <v>55</v>
      </c>
      <c r="G305" s="19"/>
      <c r="H305" s="19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20">
        <v>46161.0</v>
      </c>
      <c r="B306" s="17" t="s">
        <v>52</v>
      </c>
      <c r="C306" s="17" t="s">
        <v>370</v>
      </c>
      <c r="D306" s="20">
        <v>31916.0</v>
      </c>
      <c r="E306" s="18" t="s">
        <v>74</v>
      </c>
      <c r="F306" s="18" t="s">
        <v>55</v>
      </c>
      <c r="G306" s="19"/>
      <c r="H306" s="19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20">
        <v>46161.0</v>
      </c>
      <c r="B307" s="17" t="s">
        <v>52</v>
      </c>
      <c r="C307" s="17" t="s">
        <v>371</v>
      </c>
      <c r="D307" s="20">
        <v>34351.0</v>
      </c>
      <c r="E307" s="18" t="s">
        <v>74</v>
      </c>
      <c r="F307" s="18" t="s">
        <v>55</v>
      </c>
      <c r="G307" s="19"/>
      <c r="H307" s="19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20">
        <v>46161.0</v>
      </c>
      <c r="B308" s="17" t="s">
        <v>52</v>
      </c>
      <c r="C308" s="17" t="s">
        <v>372</v>
      </c>
      <c r="D308" s="20">
        <v>25631.0</v>
      </c>
      <c r="E308" s="18" t="s">
        <v>81</v>
      </c>
      <c r="F308" s="18" t="s">
        <v>55</v>
      </c>
      <c r="G308" s="19"/>
      <c r="H308" s="19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20">
        <v>46161.0</v>
      </c>
      <c r="B309" s="17" t="s">
        <v>52</v>
      </c>
      <c r="C309" s="17" t="s">
        <v>373</v>
      </c>
      <c r="D309" s="23">
        <v>34656.0</v>
      </c>
      <c r="E309" s="18" t="s">
        <v>81</v>
      </c>
      <c r="F309" s="18" t="s">
        <v>55</v>
      </c>
      <c r="G309" s="19"/>
      <c r="H309" s="19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20">
        <v>46161.0</v>
      </c>
      <c r="B310" s="17" t="s">
        <v>52</v>
      </c>
      <c r="C310" s="17" t="s">
        <v>374</v>
      </c>
      <c r="D310" s="20">
        <v>32690.0</v>
      </c>
      <c r="E310" s="18" t="s">
        <v>81</v>
      </c>
      <c r="F310" s="18" t="s">
        <v>55</v>
      </c>
      <c r="G310" s="19"/>
      <c r="H310" s="19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20">
        <v>46161.0</v>
      </c>
      <c r="B311" s="17" t="s">
        <v>52</v>
      </c>
      <c r="C311" s="17" t="s">
        <v>375</v>
      </c>
      <c r="D311" s="23">
        <v>29887.0</v>
      </c>
      <c r="E311" s="18" t="s">
        <v>81</v>
      </c>
      <c r="F311" s="18" t="s">
        <v>55</v>
      </c>
      <c r="G311" s="19"/>
      <c r="H311" s="19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20">
        <v>46161.0</v>
      </c>
      <c r="B312" s="17" t="s">
        <v>52</v>
      </c>
      <c r="C312" s="17" t="s">
        <v>376</v>
      </c>
      <c r="D312" s="20">
        <v>24312.0</v>
      </c>
      <c r="E312" s="18" t="s">
        <v>86</v>
      </c>
      <c r="F312" s="18" t="s">
        <v>55</v>
      </c>
      <c r="G312" s="19"/>
      <c r="H312" s="19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20">
        <v>46161.0</v>
      </c>
      <c r="B313" s="17" t="s">
        <v>52</v>
      </c>
      <c r="C313" s="17" t="s">
        <v>377</v>
      </c>
      <c r="D313" s="20">
        <v>22338.0</v>
      </c>
      <c r="E313" s="18" t="s">
        <v>86</v>
      </c>
      <c r="F313" s="18" t="s">
        <v>55</v>
      </c>
      <c r="G313" s="19"/>
      <c r="H313" s="19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24">
        <v>46162.0</v>
      </c>
      <c r="B314" s="17" t="s">
        <v>52</v>
      </c>
      <c r="C314" s="17" t="s">
        <v>378</v>
      </c>
      <c r="D314" s="24">
        <v>33077.0</v>
      </c>
      <c r="E314" s="25" t="s">
        <v>81</v>
      </c>
      <c r="F314" s="25" t="s">
        <v>55</v>
      </c>
      <c r="G314" s="19"/>
      <c r="H314" s="19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24">
        <v>46162.0</v>
      </c>
      <c r="B315" s="17" t="s">
        <v>52</v>
      </c>
      <c r="C315" s="26" t="s">
        <v>379</v>
      </c>
      <c r="D315" s="27">
        <v>23660.0</v>
      </c>
      <c r="E315" s="25" t="s">
        <v>81</v>
      </c>
      <c r="F315" s="25" t="s">
        <v>55</v>
      </c>
      <c r="G315" s="19"/>
      <c r="H315" s="19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24">
        <v>46162.0</v>
      </c>
      <c r="B316" s="17" t="s">
        <v>52</v>
      </c>
      <c r="C316" s="26" t="s">
        <v>380</v>
      </c>
      <c r="D316" s="24">
        <v>27334.0</v>
      </c>
      <c r="E316" s="25" t="s">
        <v>81</v>
      </c>
      <c r="F316" s="25" t="s">
        <v>55</v>
      </c>
      <c r="G316" s="19"/>
      <c r="H316" s="19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24">
        <v>46162.0</v>
      </c>
      <c r="B317" s="17" t="s">
        <v>52</v>
      </c>
      <c r="C317" s="26" t="s">
        <v>381</v>
      </c>
      <c r="D317" s="24">
        <v>28644.0</v>
      </c>
      <c r="E317" s="25" t="s">
        <v>81</v>
      </c>
      <c r="F317" s="25" t="s">
        <v>55</v>
      </c>
      <c r="G317" s="19"/>
      <c r="H317" s="19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24">
        <v>46162.0</v>
      </c>
      <c r="B318" s="17" t="s">
        <v>52</v>
      </c>
      <c r="C318" s="26" t="s">
        <v>382</v>
      </c>
      <c r="D318" s="27">
        <v>30271.0</v>
      </c>
      <c r="E318" s="25" t="s">
        <v>74</v>
      </c>
      <c r="F318" s="25" t="s">
        <v>55</v>
      </c>
      <c r="G318" s="19"/>
      <c r="H318" s="19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24">
        <v>46162.0</v>
      </c>
      <c r="B319" s="17" t="s">
        <v>52</v>
      </c>
      <c r="C319" s="26" t="s">
        <v>383</v>
      </c>
      <c r="D319" s="27">
        <v>36874.0</v>
      </c>
      <c r="E319" s="25" t="s">
        <v>74</v>
      </c>
      <c r="F319" s="25" t="s">
        <v>55</v>
      </c>
      <c r="G319" s="19"/>
      <c r="H319" s="19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24">
        <v>46162.0</v>
      </c>
      <c r="B320" s="17" t="s">
        <v>52</v>
      </c>
      <c r="C320" s="26" t="s">
        <v>384</v>
      </c>
      <c r="D320" s="24">
        <v>29361.0</v>
      </c>
      <c r="E320" s="25" t="s">
        <v>74</v>
      </c>
      <c r="F320" s="25" t="s">
        <v>55</v>
      </c>
      <c r="G320" s="18"/>
      <c r="H320" s="18" t="s">
        <v>385</v>
      </c>
      <c r="I320" s="28" t="s">
        <v>386</v>
      </c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24">
        <v>46162.0</v>
      </c>
      <c r="B321" s="17" t="s">
        <v>52</v>
      </c>
      <c r="C321" s="26" t="s">
        <v>387</v>
      </c>
      <c r="D321" s="24">
        <v>24327.0</v>
      </c>
      <c r="E321" s="25" t="s">
        <v>74</v>
      </c>
      <c r="F321" s="25" t="s">
        <v>55</v>
      </c>
      <c r="G321" s="19"/>
      <c r="H321" s="19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24">
        <v>46162.0</v>
      </c>
      <c r="B322" s="17" t="s">
        <v>52</v>
      </c>
      <c r="C322" s="26" t="s">
        <v>388</v>
      </c>
      <c r="D322" s="27">
        <v>30614.0</v>
      </c>
      <c r="E322" s="18" t="s">
        <v>54</v>
      </c>
      <c r="F322" s="25" t="s">
        <v>55</v>
      </c>
      <c r="G322" s="19"/>
      <c r="H322" s="19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24">
        <v>46162.0</v>
      </c>
      <c r="B323" s="17" t="s">
        <v>52</v>
      </c>
      <c r="C323" s="26" t="s">
        <v>389</v>
      </c>
      <c r="D323" s="24">
        <v>28720.0</v>
      </c>
      <c r="E323" s="18" t="s">
        <v>54</v>
      </c>
      <c r="F323" s="25" t="s">
        <v>55</v>
      </c>
      <c r="G323" s="19"/>
      <c r="H323" s="19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24">
        <v>46162.0</v>
      </c>
      <c r="B324" s="17" t="s">
        <v>52</v>
      </c>
      <c r="C324" s="16" t="s">
        <v>390</v>
      </c>
      <c r="D324" s="24">
        <v>24565.0</v>
      </c>
      <c r="E324" s="18" t="s">
        <v>54</v>
      </c>
      <c r="F324" s="19" t="s">
        <v>55</v>
      </c>
      <c r="G324" s="19"/>
      <c r="H324" s="19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24">
        <v>46162.0</v>
      </c>
      <c r="B325" s="17" t="s">
        <v>52</v>
      </c>
      <c r="C325" s="16" t="s">
        <v>391</v>
      </c>
      <c r="D325" s="24">
        <v>33361.0</v>
      </c>
      <c r="E325" s="18" t="s">
        <v>54</v>
      </c>
      <c r="F325" s="19" t="s">
        <v>55</v>
      </c>
      <c r="G325" s="19"/>
      <c r="H325" s="19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24">
        <v>46162.0</v>
      </c>
      <c r="B326" s="17" t="s">
        <v>52</v>
      </c>
      <c r="C326" s="16" t="s">
        <v>392</v>
      </c>
      <c r="D326" s="24">
        <v>23805.0</v>
      </c>
      <c r="E326" s="18" t="s">
        <v>54</v>
      </c>
      <c r="F326" s="19" t="s">
        <v>55</v>
      </c>
      <c r="G326" s="19"/>
      <c r="H326" s="19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24">
        <v>46163.0</v>
      </c>
      <c r="B327" s="17" t="s">
        <v>52</v>
      </c>
      <c r="C327" s="17" t="s">
        <v>393</v>
      </c>
      <c r="D327" s="20">
        <v>31159.0</v>
      </c>
      <c r="E327" s="18" t="s">
        <v>74</v>
      </c>
      <c r="F327" s="18" t="s">
        <v>55</v>
      </c>
      <c r="G327" s="19"/>
      <c r="H327" s="19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24">
        <v>46163.0</v>
      </c>
      <c r="B328" s="17" t="s">
        <v>52</v>
      </c>
      <c r="C328" s="17" t="s">
        <v>394</v>
      </c>
      <c r="D328" s="20">
        <v>33488.0</v>
      </c>
      <c r="E328" s="18" t="s">
        <v>74</v>
      </c>
      <c r="F328" s="18" t="s">
        <v>55</v>
      </c>
      <c r="G328" s="19"/>
      <c r="H328" s="19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24">
        <v>46163.0</v>
      </c>
      <c r="B329" s="17" t="s">
        <v>52</v>
      </c>
      <c r="C329" s="17" t="s">
        <v>395</v>
      </c>
      <c r="D329" s="20">
        <v>30883.0</v>
      </c>
      <c r="E329" s="18" t="s">
        <v>74</v>
      </c>
      <c r="F329" s="18" t="s">
        <v>55</v>
      </c>
      <c r="G329" s="19"/>
      <c r="H329" s="19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24">
        <v>46163.0</v>
      </c>
      <c r="B330" s="17" t="s">
        <v>52</v>
      </c>
      <c r="C330" s="17" t="s">
        <v>396</v>
      </c>
      <c r="D330" s="20">
        <v>37837.0</v>
      </c>
      <c r="E330" s="18" t="s">
        <v>74</v>
      </c>
      <c r="F330" s="18" t="s">
        <v>55</v>
      </c>
      <c r="G330" s="19"/>
      <c r="H330" s="19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24">
        <v>46163.0</v>
      </c>
      <c r="B331" s="17" t="s">
        <v>52</v>
      </c>
      <c r="C331" s="17" t="s">
        <v>397</v>
      </c>
      <c r="D331" s="20">
        <v>36433.0</v>
      </c>
      <c r="E331" s="18" t="s">
        <v>74</v>
      </c>
      <c r="F331" s="18" t="s">
        <v>55</v>
      </c>
      <c r="G331" s="19"/>
      <c r="H331" s="19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24">
        <v>46163.0</v>
      </c>
      <c r="B332" s="17" t="s">
        <v>52</v>
      </c>
      <c r="C332" s="17" t="s">
        <v>398</v>
      </c>
      <c r="D332" s="20">
        <v>34567.0</v>
      </c>
      <c r="E332" s="18" t="s">
        <v>74</v>
      </c>
      <c r="F332" s="18" t="s">
        <v>55</v>
      </c>
      <c r="G332" s="19"/>
      <c r="H332" s="19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24">
        <v>46163.0</v>
      </c>
      <c r="B333" s="17" t="s">
        <v>52</v>
      </c>
      <c r="C333" s="17" t="s">
        <v>399</v>
      </c>
      <c r="D333" s="20">
        <v>36576.0</v>
      </c>
      <c r="E333" s="18" t="s">
        <v>74</v>
      </c>
      <c r="F333" s="18" t="s">
        <v>55</v>
      </c>
      <c r="G333" s="19"/>
      <c r="H333" s="19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24">
        <v>46163.0</v>
      </c>
      <c r="B334" s="17" t="s">
        <v>52</v>
      </c>
      <c r="C334" s="17" t="s">
        <v>400</v>
      </c>
      <c r="D334" s="20">
        <v>37444.0</v>
      </c>
      <c r="E334" s="18" t="s">
        <v>74</v>
      </c>
      <c r="F334" s="18" t="s">
        <v>55</v>
      </c>
      <c r="G334" s="19"/>
      <c r="H334" s="19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24">
        <v>46163.0</v>
      </c>
      <c r="B335" s="17" t="s">
        <v>52</v>
      </c>
      <c r="C335" s="17" t="s">
        <v>401</v>
      </c>
      <c r="D335" s="20">
        <v>24915.0</v>
      </c>
      <c r="E335" s="18" t="s">
        <v>81</v>
      </c>
      <c r="F335" s="18" t="s">
        <v>55</v>
      </c>
      <c r="G335" s="18"/>
      <c r="H335" s="18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24">
        <v>46163.0</v>
      </c>
      <c r="B336" s="17" t="s">
        <v>52</v>
      </c>
      <c r="C336" s="17" t="s">
        <v>402</v>
      </c>
      <c r="D336" s="20">
        <v>23966.0</v>
      </c>
      <c r="E336" s="18" t="s">
        <v>81</v>
      </c>
      <c r="F336" s="18" t="s">
        <v>55</v>
      </c>
      <c r="G336" s="18"/>
      <c r="H336" s="18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24">
        <v>46163.0</v>
      </c>
      <c r="B337" s="17" t="s">
        <v>52</v>
      </c>
      <c r="C337" s="17" t="s">
        <v>403</v>
      </c>
      <c r="D337" s="20">
        <v>30959.0</v>
      </c>
      <c r="E337" s="18" t="s">
        <v>81</v>
      </c>
      <c r="F337" s="18" t="s">
        <v>55</v>
      </c>
      <c r="G337" s="18"/>
      <c r="H337" s="18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24">
        <v>46163.0</v>
      </c>
      <c r="B338" s="17" t="s">
        <v>52</v>
      </c>
      <c r="C338" s="17" t="s">
        <v>404</v>
      </c>
      <c r="D338" s="20">
        <v>35226.0</v>
      </c>
      <c r="E338" s="18" t="s">
        <v>81</v>
      </c>
      <c r="F338" s="18" t="s">
        <v>55</v>
      </c>
      <c r="G338" s="18"/>
      <c r="H338" s="18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24">
        <v>46163.0</v>
      </c>
      <c r="B339" s="17" t="s">
        <v>52</v>
      </c>
      <c r="C339" s="17" t="s">
        <v>405</v>
      </c>
      <c r="D339" s="20">
        <v>33470.0</v>
      </c>
      <c r="E339" s="18" t="s">
        <v>81</v>
      </c>
      <c r="F339" s="18" t="s">
        <v>55</v>
      </c>
      <c r="G339" s="18"/>
      <c r="H339" s="18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24">
        <v>46163.0</v>
      </c>
      <c r="B340" s="17" t="s">
        <v>52</v>
      </c>
      <c r="C340" s="17" t="s">
        <v>406</v>
      </c>
      <c r="D340" s="20">
        <v>33209.0</v>
      </c>
      <c r="E340" s="18" t="s">
        <v>81</v>
      </c>
      <c r="F340" s="18" t="s">
        <v>55</v>
      </c>
      <c r="G340" s="18"/>
      <c r="H340" s="18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24">
        <v>46163.0</v>
      </c>
      <c r="B341" s="17" t="s">
        <v>52</v>
      </c>
      <c r="C341" s="17" t="s">
        <v>407</v>
      </c>
      <c r="D341" s="20">
        <v>29983.0</v>
      </c>
      <c r="E341" s="18" t="s">
        <v>81</v>
      </c>
      <c r="F341" s="18" t="s">
        <v>55</v>
      </c>
      <c r="G341" s="18"/>
      <c r="H341" s="18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24">
        <v>46163.0</v>
      </c>
      <c r="B342" s="17" t="s">
        <v>52</v>
      </c>
      <c r="C342" s="17" t="s">
        <v>408</v>
      </c>
      <c r="D342" s="23">
        <v>36819.0</v>
      </c>
      <c r="E342" s="17" t="s">
        <v>81</v>
      </c>
      <c r="F342" s="18" t="s">
        <v>55</v>
      </c>
      <c r="G342" s="18"/>
      <c r="H342" s="18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24">
        <v>46163.0</v>
      </c>
      <c r="B343" s="17" t="s">
        <v>52</v>
      </c>
      <c r="C343" s="17" t="s">
        <v>409</v>
      </c>
      <c r="D343" s="23">
        <v>27751.0</v>
      </c>
      <c r="E343" s="18" t="s">
        <v>81</v>
      </c>
      <c r="F343" s="18" t="s">
        <v>55</v>
      </c>
      <c r="G343" s="18"/>
      <c r="H343" s="18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24">
        <v>46163.0</v>
      </c>
      <c r="B344" s="17" t="s">
        <v>52</v>
      </c>
      <c r="C344" s="17" t="s">
        <v>410</v>
      </c>
      <c r="D344" s="23">
        <v>32499.0</v>
      </c>
      <c r="E344" s="18" t="s">
        <v>54</v>
      </c>
      <c r="F344" s="18" t="s">
        <v>55</v>
      </c>
      <c r="G344" s="18"/>
      <c r="H344" s="18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24">
        <v>46163.0</v>
      </c>
      <c r="B345" s="17" t="s">
        <v>52</v>
      </c>
      <c r="C345" s="17" t="s">
        <v>411</v>
      </c>
      <c r="D345" s="20">
        <v>27431.0</v>
      </c>
      <c r="E345" s="18" t="s">
        <v>54</v>
      </c>
      <c r="F345" s="18" t="s">
        <v>55</v>
      </c>
      <c r="G345" s="18"/>
      <c r="H345" s="18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24">
        <v>46163.0</v>
      </c>
      <c r="B346" s="17" t="s">
        <v>52</v>
      </c>
      <c r="C346" s="17" t="s">
        <v>412</v>
      </c>
      <c r="D346" s="20">
        <v>28709.0</v>
      </c>
      <c r="E346" s="18" t="s">
        <v>54</v>
      </c>
      <c r="F346" s="18" t="s">
        <v>55</v>
      </c>
      <c r="G346" s="18"/>
      <c r="H346" s="18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24">
        <v>46163.0</v>
      </c>
      <c r="B347" s="17" t="s">
        <v>52</v>
      </c>
      <c r="C347" s="17" t="s">
        <v>413</v>
      </c>
      <c r="D347" s="23">
        <v>30235.0</v>
      </c>
      <c r="E347" s="18" t="s">
        <v>54</v>
      </c>
      <c r="F347" s="18" t="s">
        <v>55</v>
      </c>
      <c r="G347" s="18"/>
      <c r="H347" s="18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24">
        <v>46163.0</v>
      </c>
      <c r="B348" s="17" t="s">
        <v>52</v>
      </c>
      <c r="C348" s="17" t="s">
        <v>414</v>
      </c>
      <c r="D348" s="23">
        <v>26233.0</v>
      </c>
      <c r="E348" s="18" t="s">
        <v>54</v>
      </c>
      <c r="F348" s="18" t="s">
        <v>55</v>
      </c>
      <c r="G348" s="18"/>
      <c r="H348" s="18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24">
        <v>46163.0</v>
      </c>
      <c r="B349" s="17" t="s">
        <v>52</v>
      </c>
      <c r="C349" s="17" t="s">
        <v>415</v>
      </c>
      <c r="D349" s="20">
        <v>35095.0</v>
      </c>
      <c r="E349" s="18" t="s">
        <v>54</v>
      </c>
      <c r="F349" s="18" t="s">
        <v>55</v>
      </c>
      <c r="G349" s="18"/>
      <c r="H349" s="18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24">
        <v>46163.0</v>
      </c>
      <c r="B350" s="17" t="s">
        <v>52</v>
      </c>
      <c r="C350" s="17" t="s">
        <v>416</v>
      </c>
      <c r="D350" s="20">
        <v>35370.0</v>
      </c>
      <c r="E350" s="18" t="s">
        <v>54</v>
      </c>
      <c r="F350" s="18" t="s">
        <v>55</v>
      </c>
      <c r="G350" s="18"/>
      <c r="H350" s="18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24">
        <v>46163.0</v>
      </c>
      <c r="B351" s="17" t="s">
        <v>52</v>
      </c>
      <c r="C351" s="17" t="s">
        <v>417</v>
      </c>
      <c r="D351" s="20">
        <v>24491.0</v>
      </c>
      <c r="E351" s="18" t="s">
        <v>54</v>
      </c>
      <c r="F351" s="18" t="s">
        <v>55</v>
      </c>
      <c r="G351" s="18"/>
      <c r="H351" s="18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24">
        <v>46163.0</v>
      </c>
      <c r="B352" s="17" t="s">
        <v>52</v>
      </c>
      <c r="C352" s="17" t="s">
        <v>418</v>
      </c>
      <c r="D352" s="20">
        <v>26303.0</v>
      </c>
      <c r="E352" s="18" t="s">
        <v>54</v>
      </c>
      <c r="F352" s="18" t="s">
        <v>55</v>
      </c>
      <c r="G352" s="18"/>
      <c r="H352" s="18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24">
        <v>46163.0</v>
      </c>
      <c r="B353" s="17" t="s">
        <v>52</v>
      </c>
      <c r="C353" s="17" t="s">
        <v>419</v>
      </c>
      <c r="D353" s="23">
        <v>26615.0</v>
      </c>
      <c r="E353" s="18" t="s">
        <v>54</v>
      </c>
      <c r="F353" s="18" t="s">
        <v>55</v>
      </c>
      <c r="G353" s="18"/>
      <c r="H353" s="18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24">
        <v>46163.0</v>
      </c>
      <c r="B354" s="17" t="s">
        <v>52</v>
      </c>
      <c r="C354" s="17" t="s">
        <v>420</v>
      </c>
      <c r="D354" s="20">
        <v>25723.0</v>
      </c>
      <c r="E354" s="18" t="s">
        <v>54</v>
      </c>
      <c r="F354" s="18" t="s">
        <v>55</v>
      </c>
      <c r="G354" s="18"/>
      <c r="H354" s="18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24">
        <v>46163.0</v>
      </c>
      <c r="B355" s="17" t="s">
        <v>52</v>
      </c>
      <c r="C355" s="17" t="s">
        <v>421</v>
      </c>
      <c r="D355" s="20">
        <v>24966.0</v>
      </c>
      <c r="E355" s="18" t="s">
        <v>54</v>
      </c>
      <c r="F355" s="18" t="s">
        <v>55</v>
      </c>
      <c r="G355" s="18"/>
      <c r="H355" s="18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24">
        <v>46163.0</v>
      </c>
      <c r="B356" s="17" t="s">
        <v>52</v>
      </c>
      <c r="C356" s="17" t="s">
        <v>422</v>
      </c>
      <c r="D356" s="20">
        <v>35664.0</v>
      </c>
      <c r="E356" s="18" t="s">
        <v>54</v>
      </c>
      <c r="F356" s="18" t="s">
        <v>55</v>
      </c>
      <c r="G356" s="18"/>
      <c r="H356" s="18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24">
        <v>46163.0</v>
      </c>
      <c r="B357" s="17" t="s">
        <v>52</v>
      </c>
      <c r="C357" s="17" t="s">
        <v>423</v>
      </c>
      <c r="D357" s="20">
        <v>31304.0</v>
      </c>
      <c r="E357" s="18" t="s">
        <v>54</v>
      </c>
      <c r="F357" s="18" t="s">
        <v>55</v>
      </c>
      <c r="G357" s="18"/>
      <c r="H357" s="18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24">
        <v>46163.0</v>
      </c>
      <c r="B358" s="17" t="s">
        <v>52</v>
      </c>
      <c r="C358" s="17" t="s">
        <v>424</v>
      </c>
      <c r="D358" s="20">
        <v>32762.0</v>
      </c>
      <c r="E358" s="18" t="s">
        <v>54</v>
      </c>
      <c r="F358" s="18" t="s">
        <v>55</v>
      </c>
      <c r="G358" s="18"/>
      <c r="H358" s="18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24">
        <v>46163.0</v>
      </c>
      <c r="B359" s="17" t="s">
        <v>52</v>
      </c>
      <c r="C359" s="17" t="s">
        <v>425</v>
      </c>
      <c r="D359" s="23">
        <v>37194.0</v>
      </c>
      <c r="E359" s="18" t="s">
        <v>54</v>
      </c>
      <c r="F359" s="18" t="s">
        <v>55</v>
      </c>
      <c r="G359" s="18"/>
      <c r="H359" s="18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24">
        <v>46163.0</v>
      </c>
      <c r="B360" s="17" t="s">
        <v>52</v>
      </c>
      <c r="C360" s="17" t="s">
        <v>426</v>
      </c>
      <c r="D360" s="23">
        <v>33597.0</v>
      </c>
      <c r="E360" s="18" t="s">
        <v>54</v>
      </c>
      <c r="F360" s="18" t="s">
        <v>55</v>
      </c>
      <c r="G360" s="18"/>
      <c r="H360" s="18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24">
        <v>46163.0</v>
      </c>
      <c r="B361" s="17" t="s">
        <v>52</v>
      </c>
      <c r="C361" s="17" t="s">
        <v>427</v>
      </c>
      <c r="D361" s="20">
        <v>34435.0</v>
      </c>
      <c r="E361" s="18" t="s">
        <v>54</v>
      </c>
      <c r="F361" s="18" t="s">
        <v>55</v>
      </c>
      <c r="G361" s="18"/>
      <c r="H361" s="18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24">
        <v>46163.0</v>
      </c>
      <c r="B362" s="17" t="s">
        <v>52</v>
      </c>
      <c r="C362" s="17" t="s">
        <v>428</v>
      </c>
      <c r="D362" s="20">
        <v>26041.0</v>
      </c>
      <c r="E362" s="18" t="s">
        <v>54</v>
      </c>
      <c r="F362" s="18" t="s">
        <v>55</v>
      </c>
      <c r="G362" s="18"/>
      <c r="H362" s="18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24">
        <v>46163.0</v>
      </c>
      <c r="B363" s="17" t="s">
        <v>52</v>
      </c>
      <c r="C363" s="17" t="s">
        <v>429</v>
      </c>
      <c r="D363" s="20">
        <v>23026.0</v>
      </c>
      <c r="E363" s="18" t="s">
        <v>54</v>
      </c>
      <c r="F363" s="18" t="s">
        <v>55</v>
      </c>
      <c r="G363" s="18"/>
      <c r="H363" s="18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24">
        <v>46163.0</v>
      </c>
      <c r="B364" s="17" t="s">
        <v>52</v>
      </c>
      <c r="C364" s="17" t="s">
        <v>430</v>
      </c>
      <c r="D364" s="20">
        <v>33268.0</v>
      </c>
      <c r="E364" s="18" t="s">
        <v>54</v>
      </c>
      <c r="F364" s="18" t="s">
        <v>55</v>
      </c>
      <c r="G364" s="18"/>
      <c r="H364" s="18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24">
        <v>46163.0</v>
      </c>
      <c r="B365" s="17" t="s">
        <v>52</v>
      </c>
      <c r="C365" s="17" t="s">
        <v>431</v>
      </c>
      <c r="D365" s="20">
        <v>35164.0</v>
      </c>
      <c r="E365" s="18" t="s">
        <v>54</v>
      </c>
      <c r="F365" s="18" t="s">
        <v>55</v>
      </c>
      <c r="G365" s="19"/>
      <c r="H365" s="19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24">
        <v>46163.0</v>
      </c>
      <c r="B366" s="17" t="s">
        <v>52</v>
      </c>
      <c r="C366" s="17" t="s">
        <v>432</v>
      </c>
      <c r="D366" s="20">
        <v>33001.0</v>
      </c>
      <c r="E366" s="18" t="s">
        <v>54</v>
      </c>
      <c r="F366" s="18" t="s">
        <v>55</v>
      </c>
      <c r="G366" s="19"/>
      <c r="H366" s="19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24">
        <v>46163.0</v>
      </c>
      <c r="B367" s="17" t="s">
        <v>52</v>
      </c>
      <c r="C367" s="17" t="s">
        <v>433</v>
      </c>
      <c r="D367" s="20">
        <v>33571.0</v>
      </c>
      <c r="E367" s="18" t="s">
        <v>54</v>
      </c>
      <c r="F367" s="18" t="s">
        <v>55</v>
      </c>
      <c r="G367" s="19"/>
      <c r="H367" s="19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24">
        <v>46163.0</v>
      </c>
      <c r="B368" s="17" t="s">
        <v>52</v>
      </c>
      <c r="C368" s="17" t="s">
        <v>434</v>
      </c>
      <c r="D368" s="20">
        <v>33265.0</v>
      </c>
      <c r="E368" s="18" t="s">
        <v>54</v>
      </c>
      <c r="F368" s="18" t="s">
        <v>55</v>
      </c>
      <c r="G368" s="19"/>
      <c r="H368" s="19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20">
        <v>46168.0</v>
      </c>
      <c r="B369" s="17" t="s">
        <v>52</v>
      </c>
      <c r="C369" s="17" t="s">
        <v>435</v>
      </c>
      <c r="D369" s="20">
        <v>21063.0</v>
      </c>
      <c r="E369" s="18" t="s">
        <v>54</v>
      </c>
      <c r="F369" s="18" t="s">
        <v>55</v>
      </c>
      <c r="G369" s="19"/>
      <c r="H369" s="19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20">
        <v>46168.0</v>
      </c>
      <c r="B370" s="17" t="s">
        <v>52</v>
      </c>
      <c r="C370" s="17" t="s">
        <v>436</v>
      </c>
      <c r="D370" s="20">
        <v>16524.0</v>
      </c>
      <c r="E370" s="18" t="s">
        <v>54</v>
      </c>
      <c r="F370" s="18" t="s">
        <v>55</v>
      </c>
      <c r="G370" s="19"/>
      <c r="H370" s="19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20">
        <v>46168.0</v>
      </c>
      <c r="B371" s="17" t="s">
        <v>52</v>
      </c>
      <c r="C371" s="17" t="s">
        <v>437</v>
      </c>
      <c r="D371" s="20">
        <v>26123.0</v>
      </c>
      <c r="E371" s="18" t="s">
        <v>54</v>
      </c>
      <c r="F371" s="18" t="s">
        <v>55</v>
      </c>
      <c r="G371" s="19"/>
      <c r="H371" s="19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20">
        <v>46168.0</v>
      </c>
      <c r="B372" s="17" t="s">
        <v>52</v>
      </c>
      <c r="C372" s="17" t="s">
        <v>438</v>
      </c>
      <c r="D372" s="20">
        <v>34206.0</v>
      </c>
      <c r="E372" s="18" t="s">
        <v>54</v>
      </c>
      <c r="F372" s="18" t="s">
        <v>55</v>
      </c>
      <c r="G372" s="19"/>
      <c r="H372" s="19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20">
        <v>46168.0</v>
      </c>
      <c r="B373" s="17" t="s">
        <v>52</v>
      </c>
      <c r="C373" s="17" t="s">
        <v>439</v>
      </c>
      <c r="D373" s="20">
        <v>21679.0</v>
      </c>
      <c r="E373" s="18" t="s">
        <v>54</v>
      </c>
      <c r="F373" s="18" t="s">
        <v>55</v>
      </c>
      <c r="G373" s="19"/>
      <c r="H373" s="19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20">
        <v>46168.0</v>
      </c>
      <c r="B374" s="17" t="s">
        <v>52</v>
      </c>
      <c r="C374" s="17" t="s">
        <v>440</v>
      </c>
      <c r="D374" s="20">
        <v>30914.0</v>
      </c>
      <c r="E374" s="18" t="s">
        <v>54</v>
      </c>
      <c r="F374" s="18" t="s">
        <v>55</v>
      </c>
      <c r="G374" s="19"/>
      <c r="H374" s="19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20">
        <v>46168.0</v>
      </c>
      <c r="B375" s="17" t="s">
        <v>52</v>
      </c>
      <c r="C375" s="17" t="s">
        <v>441</v>
      </c>
      <c r="D375" s="20">
        <v>25452.0</v>
      </c>
      <c r="E375" s="18" t="s">
        <v>54</v>
      </c>
      <c r="F375" s="18" t="s">
        <v>55</v>
      </c>
      <c r="G375" s="19"/>
      <c r="H375" s="19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20">
        <v>46168.0</v>
      </c>
      <c r="B376" s="17" t="s">
        <v>52</v>
      </c>
      <c r="C376" s="17" t="s">
        <v>442</v>
      </c>
      <c r="D376" s="20">
        <v>36097.0</v>
      </c>
      <c r="E376" s="18" t="s">
        <v>54</v>
      </c>
      <c r="F376" s="18" t="s">
        <v>55</v>
      </c>
      <c r="G376" s="19"/>
      <c r="H376" s="19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20">
        <v>46168.0</v>
      </c>
      <c r="B377" s="17" t="s">
        <v>52</v>
      </c>
      <c r="C377" s="17" t="s">
        <v>443</v>
      </c>
      <c r="D377" s="20">
        <v>25384.0</v>
      </c>
      <c r="E377" s="18" t="s">
        <v>54</v>
      </c>
      <c r="F377" s="18" t="s">
        <v>55</v>
      </c>
      <c r="G377" s="19"/>
      <c r="H377" s="19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20">
        <v>46168.0</v>
      </c>
      <c r="B378" s="17" t="s">
        <v>52</v>
      </c>
      <c r="C378" s="17" t="s">
        <v>444</v>
      </c>
      <c r="D378" s="20">
        <v>31642.0</v>
      </c>
      <c r="E378" s="18" t="s">
        <v>54</v>
      </c>
      <c r="F378" s="18" t="s">
        <v>55</v>
      </c>
      <c r="G378" s="19"/>
      <c r="H378" s="19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20">
        <v>46168.0</v>
      </c>
      <c r="B379" s="17" t="s">
        <v>52</v>
      </c>
      <c r="C379" s="17" t="s">
        <v>445</v>
      </c>
      <c r="D379" s="20">
        <v>35572.0</v>
      </c>
      <c r="E379" s="18" t="s">
        <v>54</v>
      </c>
      <c r="F379" s="18" t="s">
        <v>55</v>
      </c>
      <c r="G379" s="19"/>
      <c r="H379" s="19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20">
        <v>46168.0</v>
      </c>
      <c r="B380" s="17" t="s">
        <v>52</v>
      </c>
      <c r="C380" s="17" t="s">
        <v>446</v>
      </c>
      <c r="D380" s="20">
        <v>31448.0</v>
      </c>
      <c r="E380" s="18" t="s">
        <v>54</v>
      </c>
      <c r="F380" s="18" t="s">
        <v>55</v>
      </c>
      <c r="G380" s="19"/>
      <c r="H380" s="19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20">
        <v>46168.0</v>
      </c>
      <c r="B381" s="17" t="s">
        <v>52</v>
      </c>
      <c r="C381" s="17" t="s">
        <v>447</v>
      </c>
      <c r="D381" s="20">
        <v>23491.0</v>
      </c>
      <c r="E381" s="18" t="s">
        <v>54</v>
      </c>
      <c r="F381" s="18" t="s">
        <v>55</v>
      </c>
      <c r="G381" s="19"/>
      <c r="H381" s="19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20">
        <v>46168.0</v>
      </c>
      <c r="B382" s="17" t="s">
        <v>52</v>
      </c>
      <c r="C382" s="17" t="s">
        <v>448</v>
      </c>
      <c r="D382" s="20">
        <v>37740.0</v>
      </c>
      <c r="E382" s="18" t="s">
        <v>54</v>
      </c>
      <c r="F382" s="18" t="s">
        <v>55</v>
      </c>
      <c r="G382" s="19"/>
      <c r="H382" s="19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20">
        <v>46168.0</v>
      </c>
      <c r="B383" s="17" t="s">
        <v>52</v>
      </c>
      <c r="C383" s="17" t="s">
        <v>449</v>
      </c>
      <c r="D383" s="20">
        <v>23214.0</v>
      </c>
      <c r="E383" s="18" t="s">
        <v>54</v>
      </c>
      <c r="F383" s="18" t="s">
        <v>55</v>
      </c>
      <c r="G383" s="19"/>
      <c r="H383" s="19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20">
        <v>46168.0</v>
      </c>
      <c r="B384" s="17" t="s">
        <v>52</v>
      </c>
      <c r="C384" s="17" t="s">
        <v>450</v>
      </c>
      <c r="D384" s="20">
        <v>23548.0</v>
      </c>
      <c r="E384" s="18" t="s">
        <v>54</v>
      </c>
      <c r="F384" s="18" t="s">
        <v>55</v>
      </c>
      <c r="G384" s="19"/>
      <c r="H384" s="19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20">
        <v>46168.0</v>
      </c>
      <c r="B385" s="17" t="s">
        <v>52</v>
      </c>
      <c r="C385" s="17" t="s">
        <v>451</v>
      </c>
      <c r="D385" s="20">
        <v>21749.0</v>
      </c>
      <c r="E385" s="18" t="s">
        <v>54</v>
      </c>
      <c r="F385" s="18" t="s">
        <v>55</v>
      </c>
      <c r="G385" s="19"/>
      <c r="H385" s="19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20">
        <v>46168.0</v>
      </c>
      <c r="B386" s="17" t="s">
        <v>52</v>
      </c>
      <c r="C386" s="17" t="s">
        <v>452</v>
      </c>
      <c r="D386" s="20">
        <v>34738.0</v>
      </c>
      <c r="E386" s="18" t="s">
        <v>54</v>
      </c>
      <c r="F386" s="18" t="s">
        <v>55</v>
      </c>
      <c r="G386" s="19"/>
      <c r="H386" s="19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20">
        <v>46168.0</v>
      </c>
      <c r="B387" s="17" t="s">
        <v>52</v>
      </c>
      <c r="C387" s="17" t="s">
        <v>453</v>
      </c>
      <c r="D387" s="20">
        <v>25324.0</v>
      </c>
      <c r="E387" s="18" t="s">
        <v>54</v>
      </c>
      <c r="F387" s="18" t="s">
        <v>55</v>
      </c>
      <c r="G387" s="19"/>
      <c r="H387" s="19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20">
        <v>46168.0</v>
      </c>
      <c r="B388" s="17" t="s">
        <v>52</v>
      </c>
      <c r="C388" s="17" t="s">
        <v>454</v>
      </c>
      <c r="D388" s="20">
        <v>22540.0</v>
      </c>
      <c r="E388" s="18" t="s">
        <v>54</v>
      </c>
      <c r="F388" s="18" t="s">
        <v>55</v>
      </c>
      <c r="G388" s="19"/>
      <c r="H388" s="19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20">
        <v>46168.0</v>
      </c>
      <c r="B389" s="17" t="s">
        <v>52</v>
      </c>
      <c r="C389" s="17" t="s">
        <v>455</v>
      </c>
      <c r="D389" s="20">
        <v>37501.0</v>
      </c>
      <c r="E389" s="18" t="s">
        <v>54</v>
      </c>
      <c r="F389" s="18" t="s">
        <v>55</v>
      </c>
      <c r="G389" s="19"/>
      <c r="H389" s="19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20">
        <v>46168.0</v>
      </c>
      <c r="B390" s="17" t="s">
        <v>52</v>
      </c>
      <c r="C390" s="17" t="s">
        <v>456</v>
      </c>
      <c r="D390" s="20">
        <v>23793.0</v>
      </c>
      <c r="E390" s="18" t="s">
        <v>54</v>
      </c>
      <c r="F390" s="18" t="s">
        <v>55</v>
      </c>
      <c r="G390" s="19"/>
      <c r="H390" s="19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20">
        <v>46168.0</v>
      </c>
      <c r="B391" s="17" t="s">
        <v>52</v>
      </c>
      <c r="C391" s="17" t="s">
        <v>457</v>
      </c>
      <c r="D391" s="20">
        <v>23939.0</v>
      </c>
      <c r="E391" s="18" t="s">
        <v>54</v>
      </c>
      <c r="F391" s="18" t="s">
        <v>55</v>
      </c>
      <c r="G391" s="19"/>
      <c r="H391" s="19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20">
        <v>46168.0</v>
      </c>
      <c r="B392" s="17" t="s">
        <v>52</v>
      </c>
      <c r="C392" s="17" t="s">
        <v>458</v>
      </c>
      <c r="D392" s="20">
        <v>33705.0</v>
      </c>
      <c r="E392" s="18" t="s">
        <v>54</v>
      </c>
      <c r="F392" s="18" t="s">
        <v>55</v>
      </c>
      <c r="G392" s="19"/>
      <c r="H392" s="19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20">
        <v>46168.0</v>
      </c>
      <c r="B393" s="17" t="s">
        <v>52</v>
      </c>
      <c r="C393" s="17" t="s">
        <v>459</v>
      </c>
      <c r="D393" s="20">
        <v>22742.0</v>
      </c>
      <c r="E393" s="18" t="s">
        <v>54</v>
      </c>
      <c r="F393" s="18" t="s">
        <v>55</v>
      </c>
      <c r="G393" s="19"/>
      <c r="H393" s="19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20">
        <v>46168.0</v>
      </c>
      <c r="B394" s="17" t="s">
        <v>52</v>
      </c>
      <c r="C394" s="17" t="s">
        <v>460</v>
      </c>
      <c r="D394" s="20" t="s">
        <v>461</v>
      </c>
      <c r="E394" s="18" t="s">
        <v>54</v>
      </c>
      <c r="F394" s="18" t="s">
        <v>55</v>
      </c>
      <c r="G394" s="19"/>
      <c r="H394" s="19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20">
        <v>46168.0</v>
      </c>
      <c r="B395" s="17" t="s">
        <v>52</v>
      </c>
      <c r="C395" s="17" t="s">
        <v>462</v>
      </c>
      <c r="D395" s="20">
        <v>23599.0</v>
      </c>
      <c r="E395" s="18" t="s">
        <v>54</v>
      </c>
      <c r="F395" s="18" t="s">
        <v>55</v>
      </c>
      <c r="G395" s="19"/>
      <c r="H395" s="19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20">
        <v>46168.0</v>
      </c>
      <c r="B396" s="17" t="s">
        <v>52</v>
      </c>
      <c r="C396" s="17" t="s">
        <v>463</v>
      </c>
      <c r="D396" s="20">
        <v>29320.0</v>
      </c>
      <c r="E396" s="18" t="s">
        <v>54</v>
      </c>
      <c r="F396" s="18" t="s">
        <v>55</v>
      </c>
      <c r="G396" s="19"/>
      <c r="H396" s="19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20">
        <v>46168.0</v>
      </c>
      <c r="B397" s="17" t="s">
        <v>52</v>
      </c>
      <c r="C397" s="17" t="s">
        <v>464</v>
      </c>
      <c r="D397" s="20">
        <v>29193.0</v>
      </c>
      <c r="E397" s="18" t="s">
        <v>54</v>
      </c>
      <c r="F397" s="18" t="s">
        <v>55</v>
      </c>
      <c r="G397" s="19"/>
      <c r="H397" s="19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20">
        <v>46168.0</v>
      </c>
      <c r="B398" s="17" t="s">
        <v>52</v>
      </c>
      <c r="C398" s="17" t="s">
        <v>465</v>
      </c>
      <c r="D398" s="20">
        <v>22659.0</v>
      </c>
      <c r="E398" s="18" t="s">
        <v>54</v>
      </c>
      <c r="F398" s="18" t="s">
        <v>55</v>
      </c>
      <c r="G398" s="19"/>
      <c r="H398" s="19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20">
        <v>46168.0</v>
      </c>
      <c r="B399" s="17" t="s">
        <v>52</v>
      </c>
      <c r="C399" s="17" t="s">
        <v>466</v>
      </c>
      <c r="D399" s="20">
        <v>24380.0</v>
      </c>
      <c r="E399" s="18" t="s">
        <v>54</v>
      </c>
      <c r="F399" s="18" t="s">
        <v>55</v>
      </c>
      <c r="G399" s="19"/>
      <c r="H399" s="19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20">
        <v>46168.0</v>
      </c>
      <c r="B400" s="17" t="s">
        <v>52</v>
      </c>
      <c r="C400" s="17" t="s">
        <v>467</v>
      </c>
      <c r="D400" s="20">
        <v>29412.0</v>
      </c>
      <c r="E400" s="18" t="s">
        <v>54</v>
      </c>
      <c r="F400" s="18" t="s">
        <v>55</v>
      </c>
      <c r="G400" s="19"/>
      <c r="H400" s="19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20">
        <v>46168.0</v>
      </c>
      <c r="B401" s="17" t="s">
        <v>52</v>
      </c>
      <c r="C401" s="17" t="s">
        <v>468</v>
      </c>
      <c r="D401" s="20">
        <v>29137.0</v>
      </c>
      <c r="E401" s="18" t="s">
        <v>54</v>
      </c>
      <c r="F401" s="18" t="s">
        <v>55</v>
      </c>
      <c r="G401" s="19"/>
      <c r="H401" s="19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21">
        <v>46168.0</v>
      </c>
      <c r="B402" s="17" t="s">
        <v>352</v>
      </c>
      <c r="C402" s="22" t="s">
        <v>469</v>
      </c>
      <c r="D402" s="29">
        <v>36452.0</v>
      </c>
      <c r="E402" s="30" t="s">
        <v>74</v>
      </c>
      <c r="F402" s="30" t="s">
        <v>55</v>
      </c>
      <c r="G402" s="19"/>
      <c r="H402" s="19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21">
        <v>46168.0</v>
      </c>
      <c r="B403" s="17" t="s">
        <v>352</v>
      </c>
      <c r="C403" s="22" t="s">
        <v>470</v>
      </c>
      <c r="D403" s="21">
        <v>32818.0</v>
      </c>
      <c r="E403" s="30" t="s">
        <v>74</v>
      </c>
      <c r="F403" s="30" t="s">
        <v>55</v>
      </c>
      <c r="G403" s="19"/>
      <c r="H403" s="19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21">
        <v>46168.0</v>
      </c>
      <c r="B404" s="17" t="s">
        <v>352</v>
      </c>
      <c r="C404" s="22" t="s">
        <v>471</v>
      </c>
      <c r="D404" s="21">
        <v>37360.0</v>
      </c>
      <c r="E404" s="30" t="s">
        <v>74</v>
      </c>
      <c r="F404" s="30" t="s">
        <v>55</v>
      </c>
      <c r="G404" s="19"/>
      <c r="H404" s="19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21">
        <v>46168.0</v>
      </c>
      <c r="B405" s="17" t="s">
        <v>352</v>
      </c>
      <c r="C405" s="22" t="s">
        <v>472</v>
      </c>
      <c r="D405" s="21">
        <v>30223.0</v>
      </c>
      <c r="E405" s="30" t="s">
        <v>74</v>
      </c>
      <c r="F405" s="30" t="s">
        <v>55</v>
      </c>
      <c r="G405" s="19"/>
      <c r="H405" s="19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21">
        <v>46168.0</v>
      </c>
      <c r="B406" s="17" t="s">
        <v>352</v>
      </c>
      <c r="C406" s="22" t="s">
        <v>473</v>
      </c>
      <c r="D406" s="21">
        <v>25768.0</v>
      </c>
      <c r="E406" s="30" t="s">
        <v>74</v>
      </c>
      <c r="F406" s="30" t="s">
        <v>55</v>
      </c>
      <c r="G406" s="19"/>
      <c r="H406" s="19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21">
        <v>46168.0</v>
      </c>
      <c r="B407" s="17" t="s">
        <v>352</v>
      </c>
      <c r="C407" s="22" t="s">
        <v>474</v>
      </c>
      <c r="D407" s="21">
        <v>30793.0</v>
      </c>
      <c r="E407" s="30" t="s">
        <v>81</v>
      </c>
      <c r="F407" s="30" t="s">
        <v>55</v>
      </c>
      <c r="G407" s="19"/>
      <c r="H407" s="19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21">
        <v>46168.0</v>
      </c>
      <c r="B408" s="17" t="s">
        <v>352</v>
      </c>
      <c r="C408" s="22" t="s">
        <v>475</v>
      </c>
      <c r="D408" s="29">
        <v>37935.0</v>
      </c>
      <c r="E408" s="30" t="s">
        <v>81</v>
      </c>
      <c r="F408" s="30" t="s">
        <v>55</v>
      </c>
      <c r="G408" s="19"/>
      <c r="H408" s="19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20">
        <v>46169.0</v>
      </c>
      <c r="B409" s="17" t="s">
        <v>52</v>
      </c>
      <c r="C409" s="17" t="s">
        <v>476</v>
      </c>
      <c r="D409" s="20">
        <v>28547.0</v>
      </c>
      <c r="E409" s="18" t="s">
        <v>54</v>
      </c>
      <c r="F409" s="30" t="s">
        <v>55</v>
      </c>
      <c r="G409" s="19"/>
      <c r="H409" s="19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20">
        <v>46169.0</v>
      </c>
      <c r="B410" s="17" t="s">
        <v>52</v>
      </c>
      <c r="C410" s="17" t="s">
        <v>477</v>
      </c>
      <c r="D410" s="20">
        <v>18556.0</v>
      </c>
      <c r="E410" s="18" t="s">
        <v>54</v>
      </c>
      <c r="F410" s="30" t="s">
        <v>55</v>
      </c>
      <c r="G410" s="19"/>
      <c r="H410" s="19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20">
        <v>46169.0</v>
      </c>
      <c r="B411" s="17" t="s">
        <v>52</v>
      </c>
      <c r="C411" s="17" t="s">
        <v>478</v>
      </c>
      <c r="D411" s="20">
        <v>22554.0</v>
      </c>
      <c r="E411" s="18" t="s">
        <v>54</v>
      </c>
      <c r="F411" s="30" t="s">
        <v>55</v>
      </c>
      <c r="G411" s="19"/>
      <c r="H411" s="19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20">
        <v>46169.0</v>
      </c>
      <c r="B412" s="17" t="s">
        <v>52</v>
      </c>
      <c r="C412" s="17" t="s">
        <v>479</v>
      </c>
      <c r="D412" s="20">
        <v>38332.0</v>
      </c>
      <c r="E412" s="18" t="s">
        <v>54</v>
      </c>
      <c r="F412" s="30" t="s">
        <v>55</v>
      </c>
      <c r="G412" s="19"/>
      <c r="H412" s="19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20">
        <v>46169.0</v>
      </c>
      <c r="B413" s="17" t="s">
        <v>52</v>
      </c>
      <c r="C413" s="17" t="s">
        <v>480</v>
      </c>
      <c r="D413" s="20">
        <v>37362.0</v>
      </c>
      <c r="E413" s="18" t="s">
        <v>54</v>
      </c>
      <c r="F413" s="30" t="s">
        <v>55</v>
      </c>
      <c r="G413" s="19"/>
      <c r="H413" s="19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20">
        <v>46169.0</v>
      </c>
      <c r="B414" s="17" t="s">
        <v>52</v>
      </c>
      <c r="C414" s="17" t="s">
        <v>481</v>
      </c>
      <c r="D414" s="20">
        <v>29642.0</v>
      </c>
      <c r="E414" s="18" t="s">
        <v>54</v>
      </c>
      <c r="F414" s="30" t="s">
        <v>55</v>
      </c>
      <c r="G414" s="19"/>
      <c r="H414" s="19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20">
        <v>46169.0</v>
      </c>
      <c r="B415" s="17" t="s">
        <v>52</v>
      </c>
      <c r="C415" s="17" t="s">
        <v>482</v>
      </c>
      <c r="D415" s="20">
        <v>23823.0</v>
      </c>
      <c r="E415" s="18" t="s">
        <v>54</v>
      </c>
      <c r="F415" s="30" t="s">
        <v>55</v>
      </c>
      <c r="G415" s="19"/>
      <c r="H415" s="19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20">
        <v>46169.0</v>
      </c>
      <c r="B416" s="17" t="s">
        <v>52</v>
      </c>
      <c r="C416" s="17" t="s">
        <v>483</v>
      </c>
      <c r="D416" s="20">
        <v>30404.0</v>
      </c>
      <c r="E416" s="18" t="s">
        <v>54</v>
      </c>
      <c r="F416" s="30" t="s">
        <v>55</v>
      </c>
      <c r="G416" s="19"/>
      <c r="H416" s="19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20">
        <v>46169.0</v>
      </c>
      <c r="B417" s="17" t="s">
        <v>52</v>
      </c>
      <c r="C417" s="17" t="s">
        <v>484</v>
      </c>
      <c r="D417" s="20">
        <v>19190.0</v>
      </c>
      <c r="E417" s="18" t="s">
        <v>54</v>
      </c>
      <c r="F417" s="30" t="s">
        <v>55</v>
      </c>
      <c r="G417" s="19"/>
      <c r="H417" s="19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20">
        <v>46169.0</v>
      </c>
      <c r="B418" s="17" t="s">
        <v>52</v>
      </c>
      <c r="C418" s="17" t="s">
        <v>485</v>
      </c>
      <c r="D418" s="20">
        <v>30767.0</v>
      </c>
      <c r="E418" s="18" t="s">
        <v>54</v>
      </c>
      <c r="F418" s="30" t="s">
        <v>55</v>
      </c>
      <c r="G418" s="19"/>
      <c r="H418" s="19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20">
        <v>46169.0</v>
      </c>
      <c r="B419" s="17" t="s">
        <v>52</v>
      </c>
      <c r="C419" s="17" t="s">
        <v>486</v>
      </c>
      <c r="D419" s="20">
        <v>32533.0</v>
      </c>
      <c r="E419" s="18" t="s">
        <v>54</v>
      </c>
      <c r="F419" s="30" t="s">
        <v>55</v>
      </c>
      <c r="G419" s="19"/>
      <c r="H419" s="19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20">
        <v>46169.0</v>
      </c>
      <c r="B420" s="17" t="s">
        <v>52</v>
      </c>
      <c r="C420" s="17" t="s">
        <v>487</v>
      </c>
      <c r="D420" s="20">
        <v>30866.0</v>
      </c>
      <c r="E420" s="18" t="s">
        <v>54</v>
      </c>
      <c r="F420" s="30" t="s">
        <v>55</v>
      </c>
      <c r="G420" s="19"/>
      <c r="H420" s="19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20">
        <v>46169.0</v>
      </c>
      <c r="B421" s="17" t="s">
        <v>52</v>
      </c>
      <c r="C421" s="17" t="s">
        <v>488</v>
      </c>
      <c r="D421" s="20">
        <v>23490.0</v>
      </c>
      <c r="E421" s="18" t="s">
        <v>54</v>
      </c>
      <c r="F421" s="30" t="s">
        <v>55</v>
      </c>
      <c r="G421" s="19"/>
      <c r="H421" s="19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20">
        <v>46169.0</v>
      </c>
      <c r="B422" s="17" t="s">
        <v>52</v>
      </c>
      <c r="C422" s="17" t="s">
        <v>489</v>
      </c>
      <c r="D422" s="20">
        <v>35777.0</v>
      </c>
      <c r="E422" s="18" t="s">
        <v>54</v>
      </c>
      <c r="F422" s="30" t="s">
        <v>55</v>
      </c>
      <c r="G422" s="19"/>
      <c r="H422" s="19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20">
        <v>46169.0</v>
      </c>
      <c r="B423" s="17" t="s">
        <v>52</v>
      </c>
      <c r="C423" s="17" t="s">
        <v>490</v>
      </c>
      <c r="D423" s="20">
        <v>24835.0</v>
      </c>
      <c r="E423" s="18" t="s">
        <v>54</v>
      </c>
      <c r="F423" s="30" t="s">
        <v>55</v>
      </c>
      <c r="G423" s="19"/>
      <c r="H423" s="19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20">
        <v>46169.0</v>
      </c>
      <c r="B424" s="17" t="s">
        <v>52</v>
      </c>
      <c r="C424" s="17" t="s">
        <v>491</v>
      </c>
      <c r="D424" s="20">
        <v>31842.0</v>
      </c>
      <c r="E424" s="18" t="s">
        <v>54</v>
      </c>
      <c r="F424" s="30" t="s">
        <v>55</v>
      </c>
      <c r="G424" s="19"/>
      <c r="H424" s="19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20">
        <v>46170.0</v>
      </c>
      <c r="B425" s="17" t="s">
        <v>52</v>
      </c>
      <c r="C425" s="17" t="s">
        <v>492</v>
      </c>
      <c r="D425" s="20">
        <v>27143.0</v>
      </c>
      <c r="E425" s="18" t="s">
        <v>54</v>
      </c>
      <c r="F425" s="30" t="s">
        <v>55</v>
      </c>
      <c r="G425" s="19"/>
      <c r="H425" s="19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20">
        <v>46170.0</v>
      </c>
      <c r="B426" s="17" t="s">
        <v>52</v>
      </c>
      <c r="C426" s="17" t="s">
        <v>493</v>
      </c>
      <c r="D426" s="20">
        <v>22289.0</v>
      </c>
      <c r="E426" s="18" t="s">
        <v>54</v>
      </c>
      <c r="F426" s="30" t="s">
        <v>55</v>
      </c>
      <c r="G426" s="19"/>
      <c r="H426" s="19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20">
        <v>46170.0</v>
      </c>
      <c r="B427" s="17" t="s">
        <v>52</v>
      </c>
      <c r="C427" s="17" t="s">
        <v>494</v>
      </c>
      <c r="D427" s="20">
        <v>33022.0</v>
      </c>
      <c r="E427" s="18" t="s">
        <v>54</v>
      </c>
      <c r="F427" s="30" t="s">
        <v>55</v>
      </c>
      <c r="G427" s="19"/>
      <c r="H427" s="19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20">
        <v>46170.0</v>
      </c>
      <c r="B428" s="17" t="s">
        <v>52</v>
      </c>
      <c r="C428" s="17" t="s">
        <v>495</v>
      </c>
      <c r="D428" s="20">
        <v>32625.0</v>
      </c>
      <c r="E428" s="18" t="s">
        <v>54</v>
      </c>
      <c r="F428" s="30" t="s">
        <v>55</v>
      </c>
      <c r="G428" s="31"/>
      <c r="H428" s="31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20">
        <v>46170.0</v>
      </c>
      <c r="B429" s="17" t="s">
        <v>52</v>
      </c>
      <c r="C429" s="17" t="s">
        <v>496</v>
      </c>
      <c r="D429" s="20">
        <v>35604.0</v>
      </c>
      <c r="E429" s="18" t="s">
        <v>54</v>
      </c>
      <c r="F429" s="30" t="s">
        <v>55</v>
      </c>
      <c r="G429" s="19"/>
      <c r="H429" s="19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20">
        <v>46170.0</v>
      </c>
      <c r="B430" s="17" t="s">
        <v>52</v>
      </c>
      <c r="C430" s="17" t="s">
        <v>497</v>
      </c>
      <c r="D430" s="20">
        <v>34960.0</v>
      </c>
      <c r="E430" s="18" t="s">
        <v>54</v>
      </c>
      <c r="F430" s="30" t="s">
        <v>55</v>
      </c>
      <c r="G430" s="19"/>
      <c r="H430" s="19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20">
        <v>46170.0</v>
      </c>
      <c r="B431" s="17" t="s">
        <v>52</v>
      </c>
      <c r="C431" s="17" t="s">
        <v>498</v>
      </c>
      <c r="D431" s="20">
        <v>19363.0</v>
      </c>
      <c r="E431" s="18" t="s">
        <v>54</v>
      </c>
      <c r="F431" s="30" t="s">
        <v>55</v>
      </c>
      <c r="G431" s="19"/>
      <c r="H431" s="19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20">
        <v>46170.0</v>
      </c>
      <c r="B432" s="17" t="s">
        <v>52</v>
      </c>
      <c r="C432" s="17" t="s">
        <v>499</v>
      </c>
      <c r="D432" s="20">
        <v>23977.0</v>
      </c>
      <c r="E432" s="18" t="s">
        <v>54</v>
      </c>
      <c r="F432" s="30" t="s">
        <v>55</v>
      </c>
      <c r="G432" s="19"/>
      <c r="H432" s="19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20">
        <v>46170.0</v>
      </c>
      <c r="B433" s="17" t="s">
        <v>52</v>
      </c>
      <c r="C433" s="17" t="s">
        <v>500</v>
      </c>
      <c r="D433" s="20">
        <v>31692.0</v>
      </c>
      <c r="E433" s="18" t="s">
        <v>54</v>
      </c>
      <c r="F433" s="30" t="s">
        <v>55</v>
      </c>
      <c r="G433" s="19"/>
      <c r="H433" s="19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20">
        <v>46170.0</v>
      </c>
      <c r="B434" s="17" t="s">
        <v>52</v>
      </c>
      <c r="C434" s="17" t="s">
        <v>501</v>
      </c>
      <c r="D434" s="20">
        <v>35431.0</v>
      </c>
      <c r="E434" s="18" t="s">
        <v>54</v>
      </c>
      <c r="F434" s="30" t="s">
        <v>55</v>
      </c>
      <c r="G434" s="19"/>
      <c r="H434" s="19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20">
        <v>46170.0</v>
      </c>
      <c r="B435" s="17" t="s">
        <v>52</v>
      </c>
      <c r="C435" s="17" t="s">
        <v>502</v>
      </c>
      <c r="D435" s="20">
        <v>35261.0</v>
      </c>
      <c r="E435" s="18" t="s">
        <v>54</v>
      </c>
      <c r="F435" s="30" t="s">
        <v>55</v>
      </c>
      <c r="G435" s="19"/>
      <c r="H435" s="19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20">
        <v>46170.0</v>
      </c>
      <c r="B436" s="17" t="s">
        <v>52</v>
      </c>
      <c r="C436" s="17" t="s">
        <v>503</v>
      </c>
      <c r="D436" s="20">
        <v>30309.0</v>
      </c>
      <c r="E436" s="18" t="s">
        <v>54</v>
      </c>
      <c r="F436" s="30" t="s">
        <v>55</v>
      </c>
      <c r="G436" s="19"/>
      <c r="H436" s="19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20">
        <v>46170.0</v>
      </c>
      <c r="B437" s="17" t="s">
        <v>52</v>
      </c>
      <c r="C437" s="17" t="s">
        <v>504</v>
      </c>
      <c r="D437" s="20">
        <v>18555.0</v>
      </c>
      <c r="E437" s="18" t="s">
        <v>54</v>
      </c>
      <c r="F437" s="30" t="s">
        <v>55</v>
      </c>
      <c r="G437" s="19"/>
      <c r="H437" s="19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20">
        <v>46170.0</v>
      </c>
      <c r="B438" s="17" t="s">
        <v>52</v>
      </c>
      <c r="C438" s="17" t="s">
        <v>505</v>
      </c>
      <c r="D438" s="20">
        <v>22406.0</v>
      </c>
      <c r="E438" s="18" t="s">
        <v>54</v>
      </c>
      <c r="F438" s="30" t="s">
        <v>55</v>
      </c>
      <c r="G438" s="19"/>
      <c r="H438" s="19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20">
        <v>46170.0</v>
      </c>
      <c r="B439" s="17" t="s">
        <v>52</v>
      </c>
      <c r="C439" s="17" t="s">
        <v>506</v>
      </c>
      <c r="D439" s="20">
        <v>25244.0</v>
      </c>
      <c r="E439" s="18" t="s">
        <v>54</v>
      </c>
      <c r="F439" s="30" t="s">
        <v>55</v>
      </c>
      <c r="G439" s="19"/>
      <c r="H439" s="19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20">
        <v>46170.0</v>
      </c>
      <c r="B440" s="17" t="s">
        <v>52</v>
      </c>
      <c r="C440" s="17" t="s">
        <v>507</v>
      </c>
      <c r="D440" s="20">
        <v>37733.0</v>
      </c>
      <c r="E440" s="18" t="s">
        <v>54</v>
      </c>
      <c r="F440" s="30" t="s">
        <v>55</v>
      </c>
      <c r="G440" s="19"/>
      <c r="H440" s="19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20">
        <v>46170.0</v>
      </c>
      <c r="B441" s="17" t="s">
        <v>52</v>
      </c>
      <c r="C441" s="17" t="s">
        <v>508</v>
      </c>
      <c r="D441" s="20">
        <v>25934.0</v>
      </c>
      <c r="E441" s="18" t="s">
        <v>54</v>
      </c>
      <c r="F441" s="30" t="s">
        <v>55</v>
      </c>
      <c r="G441" s="19"/>
      <c r="H441" s="19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20">
        <v>46170.0</v>
      </c>
      <c r="B442" s="17" t="s">
        <v>52</v>
      </c>
      <c r="C442" s="17" t="s">
        <v>509</v>
      </c>
      <c r="D442" s="20">
        <v>25311.0</v>
      </c>
      <c r="E442" s="18" t="s">
        <v>54</v>
      </c>
      <c r="F442" s="30" t="s">
        <v>55</v>
      </c>
      <c r="G442" s="19"/>
      <c r="H442" s="19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20">
        <v>46170.0</v>
      </c>
      <c r="B443" s="17" t="s">
        <v>352</v>
      </c>
      <c r="C443" s="17" t="s">
        <v>510</v>
      </c>
      <c r="D443" s="20">
        <v>22761.0</v>
      </c>
      <c r="E443" s="18" t="s">
        <v>74</v>
      </c>
      <c r="F443" s="30" t="s">
        <v>55</v>
      </c>
      <c r="G443" s="19"/>
      <c r="H443" s="19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20">
        <v>46170.0</v>
      </c>
      <c r="B444" s="17" t="s">
        <v>352</v>
      </c>
      <c r="C444" s="17" t="s">
        <v>511</v>
      </c>
      <c r="D444" s="20">
        <v>37436.0</v>
      </c>
      <c r="E444" s="18" t="s">
        <v>74</v>
      </c>
      <c r="F444" s="30" t="s">
        <v>55</v>
      </c>
      <c r="G444" s="19"/>
      <c r="H444" s="19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20">
        <v>46170.0</v>
      </c>
      <c r="B445" s="17" t="s">
        <v>352</v>
      </c>
      <c r="C445" s="17" t="s">
        <v>512</v>
      </c>
      <c r="D445" s="20">
        <v>21687.0</v>
      </c>
      <c r="E445" s="18" t="s">
        <v>74</v>
      </c>
      <c r="F445" s="30" t="s">
        <v>55</v>
      </c>
      <c r="G445" s="19"/>
      <c r="H445" s="19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20">
        <v>46170.0</v>
      </c>
      <c r="B446" s="17" t="s">
        <v>352</v>
      </c>
      <c r="C446" s="17" t="s">
        <v>513</v>
      </c>
      <c r="D446" s="20">
        <v>34425.0</v>
      </c>
      <c r="E446" s="18" t="s">
        <v>74</v>
      </c>
      <c r="F446" s="30" t="s">
        <v>55</v>
      </c>
      <c r="G446" s="19"/>
      <c r="H446" s="19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20">
        <v>46170.0</v>
      </c>
      <c r="B447" s="17" t="s">
        <v>352</v>
      </c>
      <c r="C447" s="17" t="s">
        <v>514</v>
      </c>
      <c r="D447" s="20">
        <v>23443.0</v>
      </c>
      <c r="E447" s="18" t="s">
        <v>74</v>
      </c>
      <c r="F447" s="30" t="s">
        <v>55</v>
      </c>
      <c r="G447" s="19"/>
      <c r="H447" s="19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20">
        <v>46170.0</v>
      </c>
      <c r="B448" s="17" t="s">
        <v>352</v>
      </c>
      <c r="C448" s="17" t="s">
        <v>515</v>
      </c>
      <c r="D448" s="20">
        <v>35539.0</v>
      </c>
      <c r="E448" s="18" t="s">
        <v>74</v>
      </c>
      <c r="F448" s="30" t="s">
        <v>55</v>
      </c>
      <c r="G448" s="19"/>
      <c r="H448" s="19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20">
        <v>46170.0</v>
      </c>
      <c r="B449" s="17" t="s">
        <v>352</v>
      </c>
      <c r="C449" s="17" t="s">
        <v>516</v>
      </c>
      <c r="D449" s="20">
        <v>27304.0</v>
      </c>
      <c r="E449" s="18" t="s">
        <v>74</v>
      </c>
      <c r="F449" s="30" t="s">
        <v>55</v>
      </c>
      <c r="G449" s="19"/>
      <c r="H449" s="19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20">
        <v>46170.0</v>
      </c>
      <c r="B450" s="17" t="s">
        <v>352</v>
      </c>
      <c r="C450" s="17" t="s">
        <v>517</v>
      </c>
      <c r="D450" s="20">
        <v>30659.0</v>
      </c>
      <c r="E450" s="18" t="s">
        <v>81</v>
      </c>
      <c r="F450" s="30" t="s">
        <v>55</v>
      </c>
      <c r="G450" s="19"/>
      <c r="H450" s="19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20">
        <v>46170.0</v>
      </c>
      <c r="B451" s="17" t="s">
        <v>352</v>
      </c>
      <c r="C451" s="17" t="s">
        <v>518</v>
      </c>
      <c r="D451" s="20">
        <v>25519.0</v>
      </c>
      <c r="E451" s="18" t="s">
        <v>81</v>
      </c>
      <c r="F451" s="30" t="s">
        <v>55</v>
      </c>
      <c r="G451" s="19"/>
      <c r="H451" s="19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20">
        <v>46170.0</v>
      </c>
      <c r="B452" s="17" t="s">
        <v>352</v>
      </c>
      <c r="C452" s="17" t="s">
        <v>519</v>
      </c>
      <c r="D452" s="20">
        <v>33204.0</v>
      </c>
      <c r="E452" s="18" t="s">
        <v>81</v>
      </c>
      <c r="F452" s="30" t="s">
        <v>55</v>
      </c>
      <c r="G452" s="19"/>
      <c r="H452" s="19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20">
        <v>46170.0</v>
      </c>
      <c r="B453" s="17" t="s">
        <v>352</v>
      </c>
      <c r="C453" s="17" t="s">
        <v>520</v>
      </c>
      <c r="D453" s="20">
        <v>36633.0</v>
      </c>
      <c r="E453" s="18" t="s">
        <v>81</v>
      </c>
      <c r="F453" s="30" t="s">
        <v>55</v>
      </c>
      <c r="G453" s="19"/>
      <c r="H453" s="19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20">
        <v>46170.0</v>
      </c>
      <c r="B454" s="17" t="s">
        <v>352</v>
      </c>
      <c r="C454" s="17" t="s">
        <v>521</v>
      </c>
      <c r="D454" s="20">
        <v>30229.0</v>
      </c>
      <c r="E454" s="18" t="s">
        <v>81</v>
      </c>
      <c r="F454" s="30" t="s">
        <v>55</v>
      </c>
      <c r="G454" s="19"/>
      <c r="H454" s="19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20">
        <v>46170.0</v>
      </c>
      <c r="B455" s="17" t="s">
        <v>352</v>
      </c>
      <c r="C455" s="17" t="s">
        <v>522</v>
      </c>
      <c r="D455" s="20">
        <v>32824.0</v>
      </c>
      <c r="E455" s="18" t="s">
        <v>81</v>
      </c>
      <c r="F455" s="30" t="s">
        <v>55</v>
      </c>
      <c r="G455" s="19"/>
      <c r="H455" s="19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20">
        <v>46170.0</v>
      </c>
      <c r="B456" s="17" t="s">
        <v>352</v>
      </c>
      <c r="C456" s="17" t="s">
        <v>523</v>
      </c>
      <c r="D456" s="20">
        <v>31644.0</v>
      </c>
      <c r="E456" s="18" t="s">
        <v>81</v>
      </c>
      <c r="F456" s="30" t="s">
        <v>55</v>
      </c>
      <c r="G456" s="19"/>
      <c r="H456" s="19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20">
        <v>46170.0</v>
      </c>
      <c r="B457" s="17" t="s">
        <v>352</v>
      </c>
      <c r="C457" s="17" t="s">
        <v>524</v>
      </c>
      <c r="D457" s="20">
        <v>32561.0</v>
      </c>
      <c r="E457" s="18" t="s">
        <v>81</v>
      </c>
      <c r="F457" s="30" t="s">
        <v>55</v>
      </c>
      <c r="G457" s="19"/>
      <c r="H457" s="19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20">
        <v>46170.0</v>
      </c>
      <c r="B458" s="17" t="s">
        <v>352</v>
      </c>
      <c r="C458" s="17" t="s">
        <v>525</v>
      </c>
      <c r="D458" s="20">
        <v>30224.0</v>
      </c>
      <c r="E458" s="18" t="s">
        <v>81</v>
      </c>
      <c r="F458" s="30" t="s">
        <v>55</v>
      </c>
      <c r="G458" s="19"/>
      <c r="H458" s="19"/>
      <c r="I458" s="5"/>
      <c r="J458" s="32" t="s">
        <v>526</v>
      </c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20">
        <v>46170.0</v>
      </c>
      <c r="B459" s="17" t="s">
        <v>352</v>
      </c>
      <c r="C459" s="17" t="s">
        <v>527</v>
      </c>
      <c r="D459" s="20">
        <v>34967.0</v>
      </c>
      <c r="E459" s="18" t="s">
        <v>81</v>
      </c>
      <c r="F459" s="30" t="s">
        <v>55</v>
      </c>
      <c r="G459" s="19"/>
      <c r="H459" s="19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20">
        <v>46170.0</v>
      </c>
      <c r="B460" s="17" t="s">
        <v>352</v>
      </c>
      <c r="C460" s="17" t="s">
        <v>528</v>
      </c>
      <c r="D460" s="20">
        <v>35790.0</v>
      </c>
      <c r="E460" s="18" t="s">
        <v>81</v>
      </c>
      <c r="F460" s="30" t="s">
        <v>55</v>
      </c>
      <c r="G460" s="19"/>
      <c r="H460" s="19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20">
        <v>46170.0</v>
      </c>
      <c r="B461" s="17" t="s">
        <v>352</v>
      </c>
      <c r="C461" s="17" t="s">
        <v>529</v>
      </c>
      <c r="D461" s="20">
        <v>27417.0</v>
      </c>
      <c r="E461" s="18" t="s">
        <v>81</v>
      </c>
      <c r="F461" s="30" t="s">
        <v>55</v>
      </c>
      <c r="G461" s="19"/>
      <c r="H461" s="19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33">
        <v>46170.0</v>
      </c>
      <c r="B462" s="34" t="s">
        <v>352</v>
      </c>
      <c r="C462" s="34" t="s">
        <v>530</v>
      </c>
      <c r="D462" s="33">
        <v>22616.0</v>
      </c>
      <c r="E462" s="35" t="s">
        <v>81</v>
      </c>
      <c r="F462" s="14" t="s">
        <v>55</v>
      </c>
      <c r="G462" s="36"/>
      <c r="H462" s="36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</row>
    <row r="463">
      <c r="A463" s="20">
        <v>46170.0</v>
      </c>
      <c r="B463" s="17" t="s">
        <v>352</v>
      </c>
      <c r="C463" s="17" t="s">
        <v>531</v>
      </c>
      <c r="D463" s="20">
        <v>36746.0</v>
      </c>
      <c r="E463" s="18" t="s">
        <v>81</v>
      </c>
      <c r="F463" s="30" t="s">
        <v>55</v>
      </c>
      <c r="G463" s="19"/>
      <c r="H463" s="19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20">
        <v>46172.0</v>
      </c>
      <c r="B464" s="17" t="s">
        <v>52</v>
      </c>
      <c r="C464" s="17" t="s">
        <v>532</v>
      </c>
      <c r="D464" s="20">
        <v>22301.0</v>
      </c>
      <c r="E464" s="18" t="s">
        <v>54</v>
      </c>
      <c r="F464" s="30" t="s">
        <v>55</v>
      </c>
      <c r="G464" s="19"/>
      <c r="H464" s="19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20">
        <v>46172.0</v>
      </c>
      <c r="B465" s="17" t="s">
        <v>52</v>
      </c>
      <c r="C465" s="17" t="s">
        <v>533</v>
      </c>
      <c r="D465" s="20">
        <v>30714.0</v>
      </c>
      <c r="E465" s="18" t="s">
        <v>54</v>
      </c>
      <c r="F465" s="30" t="s">
        <v>55</v>
      </c>
      <c r="G465" s="19"/>
      <c r="H465" s="19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20">
        <v>46172.0</v>
      </c>
      <c r="B466" s="17" t="s">
        <v>52</v>
      </c>
      <c r="C466" s="17" t="s">
        <v>534</v>
      </c>
      <c r="D466" s="20">
        <v>28577.0</v>
      </c>
      <c r="E466" s="18" t="s">
        <v>54</v>
      </c>
      <c r="F466" s="30" t="s">
        <v>55</v>
      </c>
      <c r="G466" s="19"/>
      <c r="H466" s="19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20">
        <v>46172.0</v>
      </c>
      <c r="B467" s="17" t="s">
        <v>52</v>
      </c>
      <c r="C467" s="17" t="s">
        <v>535</v>
      </c>
      <c r="D467" s="20">
        <v>37584.0</v>
      </c>
      <c r="E467" s="18" t="s">
        <v>54</v>
      </c>
      <c r="F467" s="30" t="s">
        <v>55</v>
      </c>
      <c r="G467" s="19"/>
      <c r="H467" s="19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20">
        <v>46172.0</v>
      </c>
      <c r="B468" s="17" t="s">
        <v>52</v>
      </c>
      <c r="C468" s="17" t="s">
        <v>536</v>
      </c>
      <c r="D468" s="20">
        <v>26210.0</v>
      </c>
      <c r="E468" s="18" t="s">
        <v>54</v>
      </c>
      <c r="F468" s="30" t="s">
        <v>55</v>
      </c>
      <c r="G468" s="19"/>
      <c r="H468" s="19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20">
        <v>46172.0</v>
      </c>
      <c r="B469" s="17" t="s">
        <v>52</v>
      </c>
      <c r="C469" s="17" t="s">
        <v>537</v>
      </c>
      <c r="D469" s="20">
        <v>24546.0</v>
      </c>
      <c r="E469" s="18" t="s">
        <v>54</v>
      </c>
      <c r="F469" s="30" t="s">
        <v>55</v>
      </c>
      <c r="G469" s="19"/>
      <c r="H469" s="19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20">
        <v>46172.0</v>
      </c>
      <c r="B470" s="17" t="s">
        <v>52</v>
      </c>
      <c r="C470" s="17" t="s">
        <v>538</v>
      </c>
      <c r="D470" s="20">
        <v>37231.0</v>
      </c>
      <c r="E470" s="18" t="s">
        <v>54</v>
      </c>
      <c r="F470" s="30" t="s">
        <v>55</v>
      </c>
      <c r="G470" s="19"/>
      <c r="H470" s="19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20">
        <v>46172.0</v>
      </c>
      <c r="B471" s="17" t="s">
        <v>52</v>
      </c>
      <c r="C471" s="17" t="s">
        <v>539</v>
      </c>
      <c r="D471" s="20">
        <v>27436.0</v>
      </c>
      <c r="E471" s="18" t="s">
        <v>54</v>
      </c>
      <c r="F471" s="30" t="s">
        <v>55</v>
      </c>
      <c r="G471" s="19"/>
      <c r="H471" s="19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20">
        <v>46172.0</v>
      </c>
      <c r="B472" s="17" t="s">
        <v>52</v>
      </c>
      <c r="C472" s="17" t="s">
        <v>540</v>
      </c>
      <c r="D472" s="20">
        <v>38338.0</v>
      </c>
      <c r="E472" s="18" t="s">
        <v>54</v>
      </c>
      <c r="F472" s="30" t="s">
        <v>55</v>
      </c>
      <c r="G472" s="19"/>
      <c r="H472" s="19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20">
        <v>46172.0</v>
      </c>
      <c r="B473" s="17" t="s">
        <v>52</v>
      </c>
      <c r="C473" s="17" t="s">
        <v>541</v>
      </c>
      <c r="D473" s="20">
        <v>27335.0</v>
      </c>
      <c r="E473" s="18" t="s">
        <v>54</v>
      </c>
      <c r="F473" s="30" t="s">
        <v>55</v>
      </c>
      <c r="G473" s="19"/>
      <c r="H473" s="19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20">
        <v>46172.0</v>
      </c>
      <c r="B474" s="17" t="s">
        <v>52</v>
      </c>
      <c r="C474" s="17" t="s">
        <v>542</v>
      </c>
      <c r="D474" s="20">
        <v>24391.0</v>
      </c>
      <c r="E474" s="18" t="s">
        <v>54</v>
      </c>
      <c r="F474" s="30" t="s">
        <v>55</v>
      </c>
      <c r="G474" s="19"/>
      <c r="H474" s="19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20">
        <v>46172.0</v>
      </c>
      <c r="B475" s="17" t="s">
        <v>52</v>
      </c>
      <c r="C475" s="17" t="s">
        <v>543</v>
      </c>
      <c r="D475" s="20">
        <v>31814.0</v>
      </c>
      <c r="E475" s="18" t="s">
        <v>54</v>
      </c>
      <c r="F475" s="30" t="s">
        <v>55</v>
      </c>
      <c r="G475" s="19"/>
      <c r="H475" s="19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20">
        <v>46172.0</v>
      </c>
      <c r="B476" s="17" t="s">
        <v>52</v>
      </c>
      <c r="C476" s="17" t="s">
        <v>544</v>
      </c>
      <c r="D476" s="20">
        <v>24615.0</v>
      </c>
      <c r="E476" s="18" t="s">
        <v>54</v>
      </c>
      <c r="F476" s="30" t="s">
        <v>55</v>
      </c>
      <c r="G476" s="19"/>
      <c r="H476" s="19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20">
        <v>46172.0</v>
      </c>
      <c r="B477" s="17" t="s">
        <v>52</v>
      </c>
      <c r="C477" s="17" t="s">
        <v>545</v>
      </c>
      <c r="D477" s="20">
        <v>31370.0</v>
      </c>
      <c r="E477" s="18" t="s">
        <v>54</v>
      </c>
      <c r="F477" s="30" t="s">
        <v>55</v>
      </c>
      <c r="G477" s="19"/>
      <c r="H477" s="19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20">
        <v>46172.0</v>
      </c>
      <c r="B478" s="17" t="s">
        <v>52</v>
      </c>
      <c r="C478" s="17" t="s">
        <v>546</v>
      </c>
      <c r="D478" s="20">
        <v>27101.0</v>
      </c>
      <c r="E478" s="18" t="s">
        <v>54</v>
      </c>
      <c r="F478" s="30" t="s">
        <v>55</v>
      </c>
      <c r="G478" s="19"/>
      <c r="H478" s="19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20">
        <v>46172.0</v>
      </c>
      <c r="B479" s="17" t="s">
        <v>52</v>
      </c>
      <c r="C479" s="17" t="s">
        <v>547</v>
      </c>
      <c r="D479" s="20">
        <v>26076.0</v>
      </c>
      <c r="E479" s="18" t="s">
        <v>54</v>
      </c>
      <c r="F479" s="30" t="s">
        <v>55</v>
      </c>
      <c r="G479" s="19"/>
      <c r="H479" s="19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20">
        <v>46174.0</v>
      </c>
      <c r="B480" s="17" t="s">
        <v>352</v>
      </c>
      <c r="C480" s="17" t="s">
        <v>548</v>
      </c>
      <c r="D480" s="20">
        <v>24411.0</v>
      </c>
      <c r="E480" s="18" t="s">
        <v>74</v>
      </c>
      <c r="F480" s="30" t="s">
        <v>55</v>
      </c>
      <c r="G480" s="19"/>
      <c r="H480" s="19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20">
        <v>46174.0</v>
      </c>
      <c r="B481" s="17" t="s">
        <v>352</v>
      </c>
      <c r="C481" s="17" t="s">
        <v>549</v>
      </c>
      <c r="D481" s="20">
        <v>24004.0</v>
      </c>
      <c r="E481" s="18" t="s">
        <v>74</v>
      </c>
      <c r="F481" s="30" t="s">
        <v>55</v>
      </c>
      <c r="G481" s="19"/>
      <c r="H481" s="19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20">
        <v>46174.0</v>
      </c>
      <c r="B482" s="17" t="s">
        <v>352</v>
      </c>
      <c r="C482" s="17" t="s">
        <v>550</v>
      </c>
      <c r="D482" s="20">
        <v>31711.0</v>
      </c>
      <c r="E482" s="18" t="s">
        <v>74</v>
      </c>
      <c r="F482" s="30" t="s">
        <v>55</v>
      </c>
      <c r="G482" s="19"/>
      <c r="H482" s="19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20">
        <v>46174.0</v>
      </c>
      <c r="B483" s="17" t="s">
        <v>352</v>
      </c>
      <c r="C483" s="17" t="s">
        <v>551</v>
      </c>
      <c r="D483" s="20">
        <v>25010.0</v>
      </c>
      <c r="E483" s="18" t="s">
        <v>74</v>
      </c>
      <c r="F483" s="30" t="s">
        <v>55</v>
      </c>
      <c r="G483" s="19"/>
      <c r="H483" s="19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20">
        <v>46174.0</v>
      </c>
      <c r="B484" s="17" t="s">
        <v>352</v>
      </c>
      <c r="C484" s="17" t="s">
        <v>552</v>
      </c>
      <c r="D484" s="20">
        <v>26990.0</v>
      </c>
      <c r="E484" s="18" t="s">
        <v>74</v>
      </c>
      <c r="F484" s="30" t="s">
        <v>55</v>
      </c>
      <c r="G484" s="19"/>
      <c r="H484" s="19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20">
        <v>46174.0</v>
      </c>
      <c r="B485" s="17" t="s">
        <v>352</v>
      </c>
      <c r="C485" s="17" t="s">
        <v>553</v>
      </c>
      <c r="D485" s="20">
        <v>28895.0</v>
      </c>
      <c r="E485" s="18" t="s">
        <v>74</v>
      </c>
      <c r="F485" s="30" t="s">
        <v>55</v>
      </c>
      <c r="G485" s="19"/>
      <c r="H485" s="19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20">
        <v>46174.0</v>
      </c>
      <c r="B486" s="17" t="s">
        <v>352</v>
      </c>
      <c r="C486" s="17" t="s">
        <v>554</v>
      </c>
      <c r="D486" s="20">
        <v>29256.0</v>
      </c>
      <c r="E486" s="18" t="s">
        <v>74</v>
      </c>
      <c r="F486" s="30" t="s">
        <v>55</v>
      </c>
      <c r="G486" s="19"/>
      <c r="H486" s="19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20">
        <v>46174.0</v>
      </c>
      <c r="B487" s="17" t="s">
        <v>352</v>
      </c>
      <c r="C487" s="17" t="s">
        <v>555</v>
      </c>
      <c r="D487" s="20">
        <v>21867.0</v>
      </c>
      <c r="E487" s="18" t="s">
        <v>74</v>
      </c>
      <c r="F487" s="30" t="s">
        <v>55</v>
      </c>
      <c r="G487" s="19"/>
      <c r="H487" s="19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20">
        <v>46174.0</v>
      </c>
      <c r="B488" s="17" t="s">
        <v>352</v>
      </c>
      <c r="C488" s="17" t="s">
        <v>556</v>
      </c>
      <c r="D488" s="20">
        <v>32254.0</v>
      </c>
      <c r="E488" s="18" t="s">
        <v>74</v>
      </c>
      <c r="F488" s="30" t="s">
        <v>55</v>
      </c>
      <c r="G488" s="19"/>
      <c r="H488" s="19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20">
        <v>46174.0</v>
      </c>
      <c r="B489" s="17" t="s">
        <v>352</v>
      </c>
      <c r="C489" s="17" t="s">
        <v>557</v>
      </c>
      <c r="D489" s="20">
        <v>28156.0</v>
      </c>
      <c r="E489" s="18" t="s">
        <v>74</v>
      </c>
      <c r="F489" s="30" t="s">
        <v>55</v>
      </c>
      <c r="G489" s="19"/>
      <c r="H489" s="19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20">
        <v>46174.0</v>
      </c>
      <c r="B490" s="17" t="s">
        <v>352</v>
      </c>
      <c r="C490" s="17" t="s">
        <v>558</v>
      </c>
      <c r="D490" s="20">
        <v>27777.0</v>
      </c>
      <c r="E490" s="18" t="s">
        <v>74</v>
      </c>
      <c r="F490" s="30" t="s">
        <v>55</v>
      </c>
      <c r="G490" s="19"/>
      <c r="H490" s="19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20">
        <v>46174.0</v>
      </c>
      <c r="B491" s="17" t="s">
        <v>352</v>
      </c>
      <c r="C491" s="17" t="s">
        <v>559</v>
      </c>
      <c r="D491" s="20">
        <v>31702.0</v>
      </c>
      <c r="E491" s="18" t="s">
        <v>74</v>
      </c>
      <c r="F491" s="30" t="s">
        <v>55</v>
      </c>
      <c r="G491" s="19"/>
      <c r="H491" s="19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20">
        <v>46174.0</v>
      </c>
      <c r="B492" s="17" t="s">
        <v>352</v>
      </c>
      <c r="C492" s="17" t="s">
        <v>560</v>
      </c>
      <c r="D492" s="20">
        <v>39224.0</v>
      </c>
      <c r="E492" s="18" t="s">
        <v>74</v>
      </c>
      <c r="F492" s="30" t="s">
        <v>55</v>
      </c>
      <c r="G492" s="19"/>
      <c r="H492" s="19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20">
        <v>46174.0</v>
      </c>
      <c r="B493" s="17" t="s">
        <v>352</v>
      </c>
      <c r="C493" s="17" t="s">
        <v>561</v>
      </c>
      <c r="D493" s="20">
        <v>25136.0</v>
      </c>
      <c r="E493" s="18" t="s">
        <v>74</v>
      </c>
      <c r="F493" s="30" t="s">
        <v>55</v>
      </c>
      <c r="G493" s="19"/>
      <c r="H493" s="19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20">
        <v>46174.0</v>
      </c>
      <c r="B494" s="17" t="s">
        <v>352</v>
      </c>
      <c r="C494" s="17" t="s">
        <v>562</v>
      </c>
      <c r="D494" s="20">
        <v>36344.0</v>
      </c>
      <c r="E494" s="18" t="s">
        <v>74</v>
      </c>
      <c r="F494" s="30" t="s">
        <v>55</v>
      </c>
      <c r="G494" s="19"/>
      <c r="H494" s="19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20">
        <v>46174.0</v>
      </c>
      <c r="B495" s="17" t="s">
        <v>352</v>
      </c>
      <c r="C495" s="17" t="s">
        <v>563</v>
      </c>
      <c r="D495" s="20">
        <v>35634.0</v>
      </c>
      <c r="E495" s="18" t="s">
        <v>74</v>
      </c>
      <c r="F495" s="30" t="s">
        <v>55</v>
      </c>
      <c r="G495" s="19"/>
      <c r="H495" s="19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20">
        <v>46174.0</v>
      </c>
      <c r="B496" s="17" t="s">
        <v>352</v>
      </c>
      <c r="C496" s="17" t="s">
        <v>564</v>
      </c>
      <c r="D496" s="20">
        <v>33860.0</v>
      </c>
      <c r="E496" s="18" t="s">
        <v>74</v>
      </c>
      <c r="F496" s="30" t="s">
        <v>55</v>
      </c>
      <c r="G496" s="19"/>
      <c r="H496" s="19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20">
        <v>46174.0</v>
      </c>
      <c r="B497" s="17" t="s">
        <v>352</v>
      </c>
      <c r="C497" s="17" t="s">
        <v>565</v>
      </c>
      <c r="D497" s="20">
        <v>31721.0</v>
      </c>
      <c r="E497" s="18" t="s">
        <v>74</v>
      </c>
      <c r="F497" s="30" t="s">
        <v>55</v>
      </c>
      <c r="G497" s="19"/>
      <c r="H497" s="19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20">
        <v>46174.0</v>
      </c>
      <c r="B498" s="17" t="s">
        <v>52</v>
      </c>
      <c r="C498" s="17" t="s">
        <v>566</v>
      </c>
      <c r="D498" s="20">
        <v>39076.0</v>
      </c>
      <c r="E498" s="18" t="s">
        <v>54</v>
      </c>
      <c r="F498" s="30" t="s">
        <v>55</v>
      </c>
      <c r="G498" s="19"/>
      <c r="H498" s="19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20">
        <v>46174.0</v>
      </c>
      <c r="B499" s="17" t="s">
        <v>52</v>
      </c>
      <c r="C499" s="17" t="s">
        <v>567</v>
      </c>
      <c r="D499" s="20">
        <v>26342.0</v>
      </c>
      <c r="E499" s="18" t="s">
        <v>54</v>
      </c>
      <c r="F499" s="30" t="s">
        <v>55</v>
      </c>
      <c r="G499" s="19"/>
      <c r="H499" s="19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20">
        <v>46174.0</v>
      </c>
      <c r="B500" s="17" t="s">
        <v>52</v>
      </c>
      <c r="C500" s="17" t="s">
        <v>568</v>
      </c>
      <c r="D500" s="20">
        <v>29765.0</v>
      </c>
      <c r="E500" s="18" t="s">
        <v>54</v>
      </c>
      <c r="F500" s="30" t="s">
        <v>55</v>
      </c>
      <c r="G500" s="19"/>
      <c r="H500" s="19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20">
        <v>46174.0</v>
      </c>
      <c r="B501" s="17" t="s">
        <v>52</v>
      </c>
      <c r="C501" s="17" t="s">
        <v>569</v>
      </c>
      <c r="D501" s="20">
        <v>24920.0</v>
      </c>
      <c r="E501" s="18" t="s">
        <v>54</v>
      </c>
      <c r="F501" s="30" t="s">
        <v>55</v>
      </c>
      <c r="G501" s="19"/>
      <c r="H501" s="19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20">
        <v>46174.0</v>
      </c>
      <c r="B502" s="17" t="s">
        <v>52</v>
      </c>
      <c r="C502" s="17" t="s">
        <v>570</v>
      </c>
      <c r="D502" s="20">
        <v>24071.0</v>
      </c>
      <c r="E502" s="18" t="s">
        <v>54</v>
      </c>
      <c r="F502" s="30" t="s">
        <v>55</v>
      </c>
      <c r="G502" s="19"/>
      <c r="H502" s="19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20">
        <v>46174.0</v>
      </c>
      <c r="B503" s="17" t="s">
        <v>52</v>
      </c>
      <c r="C503" s="17" t="s">
        <v>571</v>
      </c>
      <c r="D503" s="20">
        <v>33544.0</v>
      </c>
      <c r="E503" s="18" t="s">
        <v>54</v>
      </c>
      <c r="F503" s="30" t="s">
        <v>55</v>
      </c>
      <c r="G503" s="19"/>
      <c r="H503" s="19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20">
        <v>46174.0</v>
      </c>
      <c r="B504" s="17" t="s">
        <v>52</v>
      </c>
      <c r="C504" s="17" t="s">
        <v>572</v>
      </c>
      <c r="D504" s="20">
        <v>24093.0</v>
      </c>
      <c r="E504" s="18" t="s">
        <v>54</v>
      </c>
      <c r="F504" s="30" t="s">
        <v>55</v>
      </c>
      <c r="G504" s="19"/>
      <c r="H504" s="19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20">
        <v>46174.0</v>
      </c>
      <c r="B505" s="17" t="s">
        <v>52</v>
      </c>
      <c r="C505" s="17" t="s">
        <v>573</v>
      </c>
      <c r="D505" s="20">
        <v>30529.0</v>
      </c>
      <c r="E505" s="18" t="s">
        <v>54</v>
      </c>
      <c r="F505" s="30" t="s">
        <v>55</v>
      </c>
      <c r="G505" s="19"/>
      <c r="H505" s="19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20">
        <v>46174.0</v>
      </c>
      <c r="B506" s="17" t="s">
        <v>52</v>
      </c>
      <c r="C506" s="17" t="s">
        <v>574</v>
      </c>
      <c r="D506" s="20">
        <v>29636.0</v>
      </c>
      <c r="E506" s="18" t="s">
        <v>54</v>
      </c>
      <c r="F506" s="30" t="s">
        <v>55</v>
      </c>
      <c r="G506" s="19"/>
      <c r="H506" s="19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20">
        <v>46174.0</v>
      </c>
      <c r="B507" s="17" t="s">
        <v>52</v>
      </c>
      <c r="C507" s="17" t="s">
        <v>575</v>
      </c>
      <c r="D507" s="20">
        <v>31623.0</v>
      </c>
      <c r="E507" s="18" t="s">
        <v>54</v>
      </c>
      <c r="F507" s="30" t="s">
        <v>55</v>
      </c>
      <c r="G507" s="19"/>
      <c r="H507" s="19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20">
        <v>46174.0</v>
      </c>
      <c r="B508" s="17" t="s">
        <v>52</v>
      </c>
      <c r="C508" s="17" t="s">
        <v>576</v>
      </c>
      <c r="D508" s="20">
        <v>34689.0</v>
      </c>
      <c r="E508" s="18" t="s">
        <v>54</v>
      </c>
      <c r="F508" s="30" t="s">
        <v>55</v>
      </c>
      <c r="G508" s="19"/>
      <c r="H508" s="19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20">
        <v>46174.0</v>
      </c>
      <c r="B509" s="17" t="s">
        <v>52</v>
      </c>
      <c r="C509" s="17" t="s">
        <v>577</v>
      </c>
      <c r="D509" s="20">
        <v>37498.0</v>
      </c>
      <c r="E509" s="18" t="s">
        <v>54</v>
      </c>
      <c r="F509" s="30" t="s">
        <v>55</v>
      </c>
      <c r="G509" s="19"/>
      <c r="H509" s="19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20">
        <v>46174.0</v>
      </c>
      <c r="B510" s="17" t="s">
        <v>52</v>
      </c>
      <c r="C510" s="17" t="s">
        <v>578</v>
      </c>
      <c r="D510" s="20">
        <v>22413.0</v>
      </c>
      <c r="E510" s="18" t="s">
        <v>54</v>
      </c>
      <c r="F510" s="30" t="s">
        <v>55</v>
      </c>
      <c r="G510" s="19"/>
      <c r="H510" s="19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20">
        <v>46174.0</v>
      </c>
      <c r="B511" s="17" t="s">
        <v>52</v>
      </c>
      <c r="C511" s="17" t="s">
        <v>579</v>
      </c>
      <c r="D511" s="20">
        <v>39455.0</v>
      </c>
      <c r="E511" s="18" t="s">
        <v>54</v>
      </c>
      <c r="F511" s="30" t="s">
        <v>55</v>
      </c>
      <c r="G511" s="19"/>
      <c r="H511" s="19"/>
      <c r="I511" s="5"/>
      <c r="J511" s="5"/>
      <c r="K511" s="5"/>
      <c r="L511" s="5"/>
      <c r="M511" s="32" t="s">
        <v>580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20">
        <v>46174.0</v>
      </c>
      <c r="B512" s="17" t="s">
        <v>52</v>
      </c>
      <c r="C512" s="17" t="s">
        <v>581</v>
      </c>
      <c r="D512" s="20">
        <v>21196.0</v>
      </c>
      <c r="E512" s="18" t="s">
        <v>54</v>
      </c>
      <c r="F512" s="30" t="s">
        <v>55</v>
      </c>
      <c r="G512" s="19"/>
      <c r="H512" s="19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20">
        <v>46174.0</v>
      </c>
      <c r="B513" s="17" t="s">
        <v>52</v>
      </c>
      <c r="C513" s="17" t="s">
        <v>582</v>
      </c>
      <c r="D513" s="20">
        <v>32115.0</v>
      </c>
      <c r="E513" s="18" t="s">
        <v>54</v>
      </c>
      <c r="F513" s="30" t="s">
        <v>55</v>
      </c>
      <c r="G513" s="19"/>
      <c r="H513" s="19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20">
        <v>46174.0</v>
      </c>
      <c r="B514" s="17" t="s">
        <v>52</v>
      </c>
      <c r="C514" s="17" t="s">
        <v>583</v>
      </c>
      <c r="D514" s="20">
        <v>26541.0</v>
      </c>
      <c r="E514" s="18" t="s">
        <v>54</v>
      </c>
      <c r="F514" s="30" t="s">
        <v>55</v>
      </c>
      <c r="G514" s="19"/>
      <c r="H514" s="19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20">
        <v>46174.0</v>
      </c>
      <c r="B515" s="17" t="s">
        <v>52</v>
      </c>
      <c r="C515" s="17" t="s">
        <v>584</v>
      </c>
      <c r="D515" s="20">
        <v>33398.0</v>
      </c>
      <c r="E515" s="18" t="s">
        <v>54</v>
      </c>
      <c r="F515" s="30" t="s">
        <v>55</v>
      </c>
      <c r="G515" s="19"/>
      <c r="H515" s="19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20">
        <v>46174.0</v>
      </c>
      <c r="B516" s="17" t="s">
        <v>52</v>
      </c>
      <c r="C516" s="17" t="s">
        <v>585</v>
      </c>
      <c r="D516" s="20">
        <v>28886.0</v>
      </c>
      <c r="E516" s="18" t="s">
        <v>54</v>
      </c>
      <c r="F516" s="30" t="s">
        <v>55</v>
      </c>
      <c r="G516" s="19"/>
      <c r="H516" s="19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20">
        <v>46174.0</v>
      </c>
      <c r="B517" s="17" t="s">
        <v>52</v>
      </c>
      <c r="C517" s="17" t="s">
        <v>586</v>
      </c>
      <c r="D517" s="20">
        <v>23761.0</v>
      </c>
      <c r="E517" s="18" t="s">
        <v>54</v>
      </c>
      <c r="F517" s="30" t="s">
        <v>55</v>
      </c>
      <c r="G517" s="19"/>
      <c r="H517" s="19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20">
        <v>46174.0</v>
      </c>
      <c r="B518" s="17" t="s">
        <v>52</v>
      </c>
      <c r="C518" s="17" t="s">
        <v>587</v>
      </c>
      <c r="D518" s="20">
        <v>37954.0</v>
      </c>
      <c r="E518" s="18" t="s">
        <v>54</v>
      </c>
      <c r="F518" s="30" t="s">
        <v>55</v>
      </c>
      <c r="G518" s="19"/>
      <c r="H518" s="19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20">
        <v>46174.0</v>
      </c>
      <c r="B519" s="17" t="s">
        <v>52</v>
      </c>
      <c r="C519" s="17" t="s">
        <v>588</v>
      </c>
      <c r="D519" s="20">
        <v>35551.0</v>
      </c>
      <c r="E519" s="18" t="s">
        <v>54</v>
      </c>
      <c r="F519" s="30" t="s">
        <v>55</v>
      </c>
      <c r="G519" s="19"/>
      <c r="H519" s="19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20">
        <v>46174.0</v>
      </c>
      <c r="B520" s="17" t="s">
        <v>52</v>
      </c>
      <c r="C520" s="17" t="s">
        <v>589</v>
      </c>
      <c r="D520" s="20">
        <v>22256.0</v>
      </c>
      <c r="E520" s="18" t="s">
        <v>54</v>
      </c>
      <c r="F520" s="30" t="s">
        <v>55</v>
      </c>
      <c r="G520" s="19"/>
      <c r="H520" s="19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20">
        <v>46174.0</v>
      </c>
      <c r="B521" s="17" t="s">
        <v>52</v>
      </c>
      <c r="C521" s="17" t="s">
        <v>590</v>
      </c>
      <c r="D521" s="20">
        <v>36004.0</v>
      </c>
      <c r="E521" s="18" t="s">
        <v>54</v>
      </c>
      <c r="F521" s="30" t="s">
        <v>55</v>
      </c>
      <c r="G521" s="19"/>
      <c r="H521" s="19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20">
        <v>46174.0</v>
      </c>
      <c r="B522" s="17" t="s">
        <v>52</v>
      </c>
      <c r="C522" s="17" t="s">
        <v>591</v>
      </c>
      <c r="D522" s="20">
        <v>26064.0</v>
      </c>
      <c r="E522" s="18" t="s">
        <v>54</v>
      </c>
      <c r="F522" s="30" t="s">
        <v>55</v>
      </c>
      <c r="G522" s="19"/>
      <c r="H522" s="19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38">
        <v>46175.0</v>
      </c>
      <c r="B523" s="17" t="s">
        <v>52</v>
      </c>
      <c r="C523" s="39" t="s">
        <v>592</v>
      </c>
      <c r="D523" s="20">
        <v>32414.0</v>
      </c>
      <c r="E523" s="18" t="s">
        <v>54</v>
      </c>
      <c r="F523" s="30" t="s">
        <v>55</v>
      </c>
      <c r="G523" s="19"/>
      <c r="H523" s="19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20">
        <v>46175.0</v>
      </c>
      <c r="B524" s="17" t="s">
        <v>52</v>
      </c>
      <c r="C524" s="39" t="s">
        <v>593</v>
      </c>
      <c r="D524" s="20">
        <v>26548.0</v>
      </c>
      <c r="E524" s="18" t="s">
        <v>54</v>
      </c>
      <c r="F524" s="30" t="s">
        <v>55</v>
      </c>
      <c r="G524" s="19"/>
      <c r="H524" s="19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20">
        <v>46175.0</v>
      </c>
      <c r="B525" s="17" t="s">
        <v>52</v>
      </c>
      <c r="C525" s="39" t="s">
        <v>594</v>
      </c>
      <c r="D525" s="20">
        <v>26167.0</v>
      </c>
      <c r="E525" s="18" t="s">
        <v>54</v>
      </c>
      <c r="F525" s="30" t="s">
        <v>55</v>
      </c>
      <c r="G525" s="19"/>
      <c r="H525" s="19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20">
        <v>46175.0</v>
      </c>
      <c r="B526" s="17" t="s">
        <v>52</v>
      </c>
      <c r="C526" s="39" t="s">
        <v>595</v>
      </c>
      <c r="D526" s="20">
        <v>26410.0</v>
      </c>
      <c r="E526" s="18" t="s">
        <v>54</v>
      </c>
      <c r="F526" s="30" t="s">
        <v>55</v>
      </c>
      <c r="G526" s="19"/>
      <c r="H526" s="19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20">
        <v>46175.0</v>
      </c>
      <c r="B527" s="17" t="s">
        <v>52</v>
      </c>
      <c r="C527" s="39" t="s">
        <v>596</v>
      </c>
      <c r="D527" s="20">
        <v>26858.0</v>
      </c>
      <c r="E527" s="18" t="s">
        <v>54</v>
      </c>
      <c r="F527" s="30" t="s">
        <v>55</v>
      </c>
      <c r="G527" s="19"/>
      <c r="H527" s="19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20">
        <v>46175.0</v>
      </c>
      <c r="B528" s="17" t="s">
        <v>52</v>
      </c>
      <c r="C528" s="39" t="s">
        <v>597</v>
      </c>
      <c r="D528" s="20">
        <v>21115.0</v>
      </c>
      <c r="E528" s="18" t="s">
        <v>54</v>
      </c>
      <c r="F528" s="30" t="s">
        <v>55</v>
      </c>
      <c r="G528" s="19"/>
      <c r="H528" s="19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20">
        <v>46175.0</v>
      </c>
      <c r="B529" s="17" t="s">
        <v>52</v>
      </c>
      <c r="C529" s="39" t="s">
        <v>598</v>
      </c>
      <c r="D529" s="20">
        <v>24417.0</v>
      </c>
      <c r="E529" s="18" t="s">
        <v>54</v>
      </c>
      <c r="F529" s="30" t="s">
        <v>55</v>
      </c>
      <c r="G529" s="19"/>
      <c r="H529" s="19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20">
        <v>46175.0</v>
      </c>
      <c r="B530" s="17" t="s">
        <v>52</v>
      </c>
      <c r="C530" s="39" t="s">
        <v>599</v>
      </c>
      <c r="D530" s="20">
        <v>26178.0</v>
      </c>
      <c r="E530" s="18" t="s">
        <v>54</v>
      </c>
      <c r="F530" s="30" t="s">
        <v>55</v>
      </c>
      <c r="G530" s="19"/>
      <c r="H530" s="19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20">
        <v>46175.0</v>
      </c>
      <c r="B531" s="17" t="s">
        <v>52</v>
      </c>
      <c r="C531" s="39" t="s">
        <v>600</v>
      </c>
      <c r="D531" s="20">
        <v>19427.0</v>
      </c>
      <c r="E531" s="18" t="s">
        <v>54</v>
      </c>
      <c r="F531" s="30" t="s">
        <v>55</v>
      </c>
      <c r="G531" s="19"/>
      <c r="H531" s="19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20">
        <v>46175.0</v>
      </c>
      <c r="B532" s="17" t="s">
        <v>52</v>
      </c>
      <c r="C532" s="39" t="s">
        <v>601</v>
      </c>
      <c r="D532" s="20">
        <v>35694.0</v>
      </c>
      <c r="E532" s="18" t="s">
        <v>54</v>
      </c>
      <c r="F532" s="30" t="s">
        <v>55</v>
      </c>
      <c r="G532" s="19"/>
      <c r="H532" s="19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20">
        <v>46175.0</v>
      </c>
      <c r="B533" s="17" t="s">
        <v>52</v>
      </c>
      <c r="C533" s="39" t="s">
        <v>602</v>
      </c>
      <c r="D533" s="20">
        <v>31540.0</v>
      </c>
      <c r="E533" s="18" t="s">
        <v>54</v>
      </c>
      <c r="F533" s="30" t="s">
        <v>55</v>
      </c>
      <c r="G533" s="19"/>
      <c r="H533" s="19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20">
        <v>46175.0</v>
      </c>
      <c r="B534" s="17" t="s">
        <v>52</v>
      </c>
      <c r="C534" s="39" t="s">
        <v>603</v>
      </c>
      <c r="D534" s="20">
        <v>29850.0</v>
      </c>
      <c r="E534" s="18" t="s">
        <v>54</v>
      </c>
      <c r="F534" s="30" t="s">
        <v>55</v>
      </c>
      <c r="G534" s="19"/>
      <c r="H534" s="19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20">
        <v>46175.0</v>
      </c>
      <c r="B535" s="17" t="s">
        <v>52</v>
      </c>
      <c r="C535" s="39" t="s">
        <v>604</v>
      </c>
      <c r="D535" s="20">
        <v>30770.0</v>
      </c>
      <c r="E535" s="18" t="s">
        <v>54</v>
      </c>
      <c r="F535" s="30" t="s">
        <v>55</v>
      </c>
      <c r="G535" s="19"/>
      <c r="H535" s="19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20">
        <v>46175.0</v>
      </c>
      <c r="B536" s="17" t="s">
        <v>52</v>
      </c>
      <c r="C536" s="39" t="s">
        <v>605</v>
      </c>
      <c r="D536" s="20">
        <v>24557.0</v>
      </c>
      <c r="E536" s="18" t="s">
        <v>54</v>
      </c>
      <c r="F536" s="30" t="s">
        <v>55</v>
      </c>
      <c r="G536" s="19"/>
      <c r="H536" s="19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20">
        <v>46175.0</v>
      </c>
      <c r="B537" s="17" t="s">
        <v>52</v>
      </c>
      <c r="C537" s="39" t="s">
        <v>606</v>
      </c>
      <c r="D537" s="20">
        <v>27726.0</v>
      </c>
      <c r="E537" s="18" t="s">
        <v>54</v>
      </c>
      <c r="F537" s="30" t="s">
        <v>55</v>
      </c>
      <c r="G537" s="19"/>
      <c r="H537" s="19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20">
        <v>46175.0</v>
      </c>
      <c r="B538" s="17" t="s">
        <v>52</v>
      </c>
      <c r="C538" s="39" t="s">
        <v>607</v>
      </c>
      <c r="D538" s="20">
        <v>31632.0</v>
      </c>
      <c r="E538" s="18" t="s">
        <v>54</v>
      </c>
      <c r="F538" s="30" t="s">
        <v>55</v>
      </c>
      <c r="G538" s="19"/>
      <c r="H538" s="19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20">
        <v>46175.0</v>
      </c>
      <c r="B539" s="17" t="s">
        <v>52</v>
      </c>
      <c r="C539" s="39" t="s">
        <v>608</v>
      </c>
      <c r="D539" s="20">
        <v>36740.0</v>
      </c>
      <c r="E539" s="18" t="s">
        <v>54</v>
      </c>
      <c r="F539" s="30" t="s">
        <v>55</v>
      </c>
      <c r="G539" s="19"/>
      <c r="H539" s="19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20">
        <v>46175.0</v>
      </c>
      <c r="B540" s="17" t="s">
        <v>52</v>
      </c>
      <c r="C540" s="39" t="s">
        <v>609</v>
      </c>
      <c r="D540" s="20">
        <v>37212.0</v>
      </c>
      <c r="E540" s="18" t="s">
        <v>54</v>
      </c>
      <c r="F540" s="30" t="s">
        <v>55</v>
      </c>
      <c r="G540" s="19"/>
      <c r="H540" s="19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20">
        <v>46175.0</v>
      </c>
      <c r="B541" s="17" t="s">
        <v>52</v>
      </c>
      <c r="C541" s="39" t="s">
        <v>610</v>
      </c>
      <c r="D541" s="20">
        <v>35250.0</v>
      </c>
      <c r="E541" s="18" t="s">
        <v>54</v>
      </c>
      <c r="F541" s="30" t="s">
        <v>55</v>
      </c>
      <c r="G541" s="19"/>
      <c r="H541" s="19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20">
        <v>46175.0</v>
      </c>
      <c r="B542" s="17" t="s">
        <v>52</v>
      </c>
      <c r="C542" s="39" t="s">
        <v>611</v>
      </c>
      <c r="D542" s="20">
        <v>20010.0</v>
      </c>
      <c r="E542" s="18" t="s">
        <v>54</v>
      </c>
      <c r="F542" s="30" t="s">
        <v>55</v>
      </c>
      <c r="G542" s="19"/>
      <c r="H542" s="19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20">
        <v>46175.0</v>
      </c>
      <c r="B543" s="17" t="s">
        <v>52</v>
      </c>
      <c r="C543" s="39" t="s">
        <v>612</v>
      </c>
      <c r="D543" s="20">
        <v>27575.0</v>
      </c>
      <c r="E543" s="18" t="s">
        <v>54</v>
      </c>
      <c r="F543" s="30" t="s">
        <v>55</v>
      </c>
      <c r="G543" s="19"/>
      <c r="H543" s="19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20">
        <v>46175.0</v>
      </c>
      <c r="B544" s="17" t="s">
        <v>52</v>
      </c>
      <c r="C544" s="39" t="s">
        <v>613</v>
      </c>
      <c r="D544" s="20">
        <v>26847.0</v>
      </c>
      <c r="E544" s="18" t="s">
        <v>54</v>
      </c>
      <c r="F544" s="30" t="s">
        <v>55</v>
      </c>
      <c r="G544" s="19"/>
      <c r="H544" s="19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20">
        <v>46175.0</v>
      </c>
      <c r="B545" s="17" t="s">
        <v>52</v>
      </c>
      <c r="C545" s="39" t="s">
        <v>614</v>
      </c>
      <c r="D545" s="20">
        <v>26989.0</v>
      </c>
      <c r="E545" s="18" t="s">
        <v>54</v>
      </c>
      <c r="F545" s="30" t="s">
        <v>55</v>
      </c>
      <c r="G545" s="19"/>
      <c r="H545" s="19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20">
        <v>46175.0</v>
      </c>
      <c r="B546" s="17" t="s">
        <v>52</v>
      </c>
      <c r="C546" s="39" t="s">
        <v>615</v>
      </c>
      <c r="D546" s="20">
        <v>30267.0</v>
      </c>
      <c r="E546" s="18" t="s">
        <v>54</v>
      </c>
      <c r="F546" s="30" t="s">
        <v>55</v>
      </c>
      <c r="G546" s="19"/>
      <c r="H546" s="19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20">
        <v>46175.0</v>
      </c>
      <c r="B547" s="17" t="s">
        <v>52</v>
      </c>
      <c r="C547" s="39" t="s">
        <v>616</v>
      </c>
      <c r="D547" s="20">
        <v>31666.0</v>
      </c>
      <c r="E547" s="18" t="s">
        <v>54</v>
      </c>
      <c r="F547" s="30" t="s">
        <v>55</v>
      </c>
      <c r="G547" s="19"/>
      <c r="H547" s="19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20">
        <v>46175.0</v>
      </c>
      <c r="B548" s="17" t="s">
        <v>52</v>
      </c>
      <c r="C548" s="39" t="s">
        <v>617</v>
      </c>
      <c r="D548" s="20">
        <v>36628.0</v>
      </c>
      <c r="E548" s="18" t="s">
        <v>54</v>
      </c>
      <c r="F548" s="30" t="s">
        <v>55</v>
      </c>
      <c r="G548" s="19"/>
      <c r="H548" s="19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20">
        <v>46175.0</v>
      </c>
      <c r="B549" s="17" t="s">
        <v>52</v>
      </c>
      <c r="C549" s="39" t="s">
        <v>618</v>
      </c>
      <c r="D549" s="20">
        <v>20231.0</v>
      </c>
      <c r="E549" s="18" t="s">
        <v>54</v>
      </c>
      <c r="F549" s="30" t="s">
        <v>55</v>
      </c>
      <c r="G549" s="19"/>
      <c r="H549" s="19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20">
        <v>46175.0</v>
      </c>
      <c r="B550" s="17" t="s">
        <v>52</v>
      </c>
      <c r="C550" s="39" t="s">
        <v>619</v>
      </c>
      <c r="D550" s="20">
        <v>19584.0</v>
      </c>
      <c r="E550" s="18" t="s">
        <v>54</v>
      </c>
      <c r="F550" s="30" t="s">
        <v>55</v>
      </c>
      <c r="G550" s="19"/>
      <c r="H550" s="19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20">
        <v>46175.0</v>
      </c>
      <c r="B551" s="17" t="s">
        <v>52</v>
      </c>
      <c r="C551" s="39" t="s">
        <v>620</v>
      </c>
      <c r="D551" s="20">
        <v>33893.0</v>
      </c>
      <c r="E551" s="18" t="s">
        <v>54</v>
      </c>
      <c r="F551" s="30" t="s">
        <v>55</v>
      </c>
      <c r="G551" s="19"/>
      <c r="H551" s="19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20">
        <v>46175.0</v>
      </c>
      <c r="B552" s="17" t="s">
        <v>52</v>
      </c>
      <c r="C552" s="39" t="s">
        <v>621</v>
      </c>
      <c r="D552" s="20">
        <v>38779.0</v>
      </c>
      <c r="E552" s="18" t="s">
        <v>54</v>
      </c>
      <c r="F552" s="30" t="s">
        <v>55</v>
      </c>
      <c r="G552" s="19"/>
      <c r="H552" s="19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20">
        <v>46175.0</v>
      </c>
      <c r="B553" s="17" t="s">
        <v>352</v>
      </c>
      <c r="C553" s="39" t="s">
        <v>622</v>
      </c>
      <c r="D553" s="20">
        <v>39598.0</v>
      </c>
      <c r="E553" s="18" t="s">
        <v>54</v>
      </c>
      <c r="F553" s="30" t="s">
        <v>55</v>
      </c>
      <c r="G553" s="19"/>
      <c r="H553" s="19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20">
        <v>46175.0</v>
      </c>
      <c r="B554" s="17" t="s">
        <v>352</v>
      </c>
      <c r="C554" s="17" t="s">
        <v>623</v>
      </c>
      <c r="D554" s="20">
        <v>25752.0</v>
      </c>
      <c r="E554" s="18" t="s">
        <v>74</v>
      </c>
      <c r="F554" s="30" t="s">
        <v>55</v>
      </c>
      <c r="G554" s="19"/>
      <c r="H554" s="19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20">
        <v>46175.0</v>
      </c>
      <c r="B555" s="17" t="s">
        <v>352</v>
      </c>
      <c r="C555" s="17" t="s">
        <v>624</v>
      </c>
      <c r="D555" s="20">
        <v>27685.0</v>
      </c>
      <c r="E555" s="18" t="s">
        <v>74</v>
      </c>
      <c r="F555" s="30" t="s">
        <v>55</v>
      </c>
      <c r="G555" s="19"/>
      <c r="H555" s="19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20">
        <v>46175.0</v>
      </c>
      <c r="B556" s="17" t="s">
        <v>352</v>
      </c>
      <c r="C556" s="17" t="s">
        <v>625</v>
      </c>
      <c r="D556" s="20">
        <v>27702.0</v>
      </c>
      <c r="E556" s="18" t="s">
        <v>74</v>
      </c>
      <c r="F556" s="30" t="s">
        <v>55</v>
      </c>
      <c r="G556" s="19"/>
      <c r="H556" s="19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20">
        <v>46175.0</v>
      </c>
      <c r="B557" s="17" t="s">
        <v>352</v>
      </c>
      <c r="C557" s="17" t="s">
        <v>626</v>
      </c>
      <c r="D557" s="20">
        <v>35569.0</v>
      </c>
      <c r="E557" s="18" t="s">
        <v>74</v>
      </c>
      <c r="F557" s="30" t="s">
        <v>55</v>
      </c>
      <c r="G557" s="19"/>
      <c r="H557" s="19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20">
        <v>46175.0</v>
      </c>
      <c r="B558" s="17" t="s">
        <v>352</v>
      </c>
      <c r="C558" s="17" t="s">
        <v>627</v>
      </c>
      <c r="D558" s="20">
        <v>37232.0</v>
      </c>
      <c r="E558" s="18" t="s">
        <v>74</v>
      </c>
      <c r="F558" s="30" t="s">
        <v>55</v>
      </c>
      <c r="G558" s="19"/>
      <c r="H558" s="19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20">
        <v>46176.0</v>
      </c>
      <c r="B559" s="17" t="s">
        <v>352</v>
      </c>
      <c r="C559" s="17" t="s">
        <v>628</v>
      </c>
      <c r="D559" s="20">
        <v>46363.0</v>
      </c>
      <c r="E559" s="18" t="s">
        <v>74</v>
      </c>
      <c r="F559" s="30" t="s">
        <v>55</v>
      </c>
      <c r="G559" s="19"/>
      <c r="H559" s="19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20">
        <v>46176.0</v>
      </c>
      <c r="B560" s="17" t="s">
        <v>352</v>
      </c>
      <c r="C560" s="17" t="s">
        <v>629</v>
      </c>
      <c r="D560" s="20">
        <v>30459.0</v>
      </c>
      <c r="E560" s="18" t="s">
        <v>74</v>
      </c>
      <c r="F560" s="30" t="s">
        <v>55</v>
      </c>
      <c r="G560" s="19"/>
      <c r="H560" s="19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20">
        <v>46176.0</v>
      </c>
      <c r="B561" s="17" t="s">
        <v>352</v>
      </c>
      <c r="C561" s="17" t="s">
        <v>630</v>
      </c>
      <c r="D561" s="20">
        <v>25121.0</v>
      </c>
      <c r="E561" s="18" t="s">
        <v>74</v>
      </c>
      <c r="F561" s="30" t="s">
        <v>55</v>
      </c>
      <c r="G561" s="19"/>
      <c r="H561" s="19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20">
        <v>46176.0</v>
      </c>
      <c r="B562" s="17" t="s">
        <v>352</v>
      </c>
      <c r="C562" s="17" t="s">
        <v>631</v>
      </c>
      <c r="D562" s="20">
        <v>28558.0</v>
      </c>
      <c r="E562" s="18" t="s">
        <v>74</v>
      </c>
      <c r="F562" s="30" t="s">
        <v>55</v>
      </c>
      <c r="G562" s="19"/>
      <c r="H562" s="19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20">
        <v>46176.0</v>
      </c>
      <c r="B563" s="17" t="s">
        <v>352</v>
      </c>
      <c r="C563" s="17" t="s">
        <v>632</v>
      </c>
      <c r="D563" s="20">
        <v>37911.0</v>
      </c>
      <c r="E563" s="18" t="s">
        <v>74</v>
      </c>
      <c r="F563" s="30" t="s">
        <v>55</v>
      </c>
      <c r="G563" s="19"/>
      <c r="H563" s="19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20">
        <v>46176.0</v>
      </c>
      <c r="B564" s="17" t="s">
        <v>352</v>
      </c>
      <c r="C564" s="17" t="s">
        <v>633</v>
      </c>
      <c r="D564" s="20">
        <v>29405.0</v>
      </c>
      <c r="E564" s="18" t="s">
        <v>74</v>
      </c>
      <c r="F564" s="30" t="s">
        <v>55</v>
      </c>
      <c r="G564" s="19"/>
      <c r="H564" s="19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20">
        <v>46176.0</v>
      </c>
      <c r="B565" s="17" t="s">
        <v>352</v>
      </c>
      <c r="C565" s="17" t="s">
        <v>634</v>
      </c>
      <c r="D565" s="20">
        <v>33657.0</v>
      </c>
      <c r="E565" s="18" t="s">
        <v>74</v>
      </c>
      <c r="F565" s="30" t="s">
        <v>55</v>
      </c>
      <c r="G565" s="19"/>
      <c r="H565" s="19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20">
        <v>46176.0</v>
      </c>
      <c r="B566" s="17" t="s">
        <v>352</v>
      </c>
      <c r="C566" s="17" t="s">
        <v>635</v>
      </c>
      <c r="D566" s="20">
        <v>33438.0</v>
      </c>
      <c r="E566" s="18" t="s">
        <v>74</v>
      </c>
      <c r="F566" s="30" t="s">
        <v>55</v>
      </c>
      <c r="G566" s="19"/>
      <c r="H566" s="19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20">
        <v>46176.0</v>
      </c>
      <c r="B567" s="17" t="s">
        <v>352</v>
      </c>
      <c r="C567" s="17" t="s">
        <v>636</v>
      </c>
      <c r="D567" s="20">
        <v>34630.0</v>
      </c>
      <c r="E567" s="18" t="s">
        <v>74</v>
      </c>
      <c r="F567" s="30" t="s">
        <v>55</v>
      </c>
      <c r="G567" s="19"/>
      <c r="H567" s="19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20">
        <v>46176.0</v>
      </c>
      <c r="B568" s="17" t="s">
        <v>352</v>
      </c>
      <c r="C568" s="17" t="s">
        <v>637</v>
      </c>
      <c r="D568" s="20">
        <v>27787.0</v>
      </c>
      <c r="E568" s="18" t="s">
        <v>74</v>
      </c>
      <c r="F568" s="30" t="s">
        <v>55</v>
      </c>
      <c r="G568" s="19"/>
      <c r="H568" s="19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20">
        <v>46176.0</v>
      </c>
      <c r="B569" s="17" t="s">
        <v>352</v>
      </c>
      <c r="C569" s="17" t="s">
        <v>638</v>
      </c>
      <c r="D569" s="20">
        <v>35332.0</v>
      </c>
      <c r="E569" s="18" t="s">
        <v>74</v>
      </c>
      <c r="F569" s="30" t="s">
        <v>55</v>
      </c>
      <c r="G569" s="19"/>
      <c r="H569" s="19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20">
        <v>46176.0</v>
      </c>
      <c r="B570" s="17" t="s">
        <v>352</v>
      </c>
      <c r="C570" s="17" t="s">
        <v>639</v>
      </c>
      <c r="D570" s="20">
        <v>37236.0</v>
      </c>
      <c r="E570" s="18" t="s">
        <v>74</v>
      </c>
      <c r="F570" s="30" t="s">
        <v>55</v>
      </c>
      <c r="G570" s="19"/>
      <c r="H570" s="19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20">
        <v>46176.0</v>
      </c>
      <c r="B571" s="17" t="s">
        <v>352</v>
      </c>
      <c r="C571" s="17" t="s">
        <v>640</v>
      </c>
      <c r="D571" s="20">
        <v>30687.0</v>
      </c>
      <c r="E571" s="18" t="s">
        <v>74</v>
      </c>
      <c r="F571" s="30" t="s">
        <v>55</v>
      </c>
      <c r="G571" s="19"/>
      <c r="H571" s="19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20">
        <v>46176.0</v>
      </c>
      <c r="B572" s="17" t="s">
        <v>352</v>
      </c>
      <c r="C572" s="17" t="s">
        <v>641</v>
      </c>
      <c r="D572" s="20">
        <v>27666.0</v>
      </c>
      <c r="E572" s="18" t="s">
        <v>74</v>
      </c>
      <c r="F572" s="30" t="s">
        <v>55</v>
      </c>
      <c r="G572" s="19"/>
      <c r="H572" s="19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20">
        <v>46176.0</v>
      </c>
      <c r="B573" s="17" t="s">
        <v>352</v>
      </c>
      <c r="C573" s="17" t="s">
        <v>642</v>
      </c>
      <c r="D573" s="20">
        <v>23815.0</v>
      </c>
      <c r="E573" s="18" t="s">
        <v>74</v>
      </c>
      <c r="F573" s="30" t="s">
        <v>55</v>
      </c>
      <c r="G573" s="19"/>
      <c r="H573" s="19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20">
        <v>46176.0</v>
      </c>
      <c r="B574" s="17" t="s">
        <v>352</v>
      </c>
      <c r="C574" s="17" t="s">
        <v>643</v>
      </c>
      <c r="D574" s="20">
        <v>34728.0</v>
      </c>
      <c r="E574" s="18" t="s">
        <v>74</v>
      </c>
      <c r="F574" s="30" t="s">
        <v>55</v>
      </c>
      <c r="G574" s="19"/>
      <c r="H574" s="19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20">
        <v>46176.0</v>
      </c>
      <c r="B575" s="17" t="s">
        <v>52</v>
      </c>
      <c r="C575" s="17" t="s">
        <v>644</v>
      </c>
      <c r="D575" s="20">
        <v>33529.0</v>
      </c>
      <c r="E575" s="18" t="s">
        <v>54</v>
      </c>
      <c r="F575" s="30" t="s">
        <v>55</v>
      </c>
      <c r="G575" s="19"/>
      <c r="H575" s="19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20">
        <v>46176.0</v>
      </c>
      <c r="B576" s="17" t="s">
        <v>52</v>
      </c>
      <c r="C576" s="17" t="s">
        <v>645</v>
      </c>
      <c r="D576" s="20">
        <v>31723.0</v>
      </c>
      <c r="E576" s="18" t="s">
        <v>54</v>
      </c>
      <c r="F576" s="30" t="s">
        <v>55</v>
      </c>
      <c r="G576" s="19"/>
      <c r="H576" s="19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20">
        <v>46176.0</v>
      </c>
      <c r="B577" s="17" t="s">
        <v>52</v>
      </c>
      <c r="C577" s="17" t="s">
        <v>646</v>
      </c>
      <c r="D577" s="20">
        <v>26194.0</v>
      </c>
      <c r="E577" s="18" t="s">
        <v>54</v>
      </c>
      <c r="F577" s="30" t="s">
        <v>55</v>
      </c>
      <c r="G577" s="19"/>
      <c r="H577" s="19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20">
        <v>46176.0</v>
      </c>
      <c r="B578" s="17" t="s">
        <v>52</v>
      </c>
      <c r="C578" s="17" t="s">
        <v>647</v>
      </c>
      <c r="D578" s="20">
        <v>34174.0</v>
      </c>
      <c r="E578" s="18" t="s">
        <v>54</v>
      </c>
      <c r="F578" s="30" t="s">
        <v>55</v>
      </c>
      <c r="G578" s="19"/>
      <c r="H578" s="19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20">
        <v>46176.0</v>
      </c>
      <c r="B579" s="17" t="s">
        <v>52</v>
      </c>
      <c r="C579" s="17" t="s">
        <v>648</v>
      </c>
      <c r="D579" s="20">
        <v>31444.0</v>
      </c>
      <c r="E579" s="18" t="s">
        <v>54</v>
      </c>
      <c r="F579" s="30" t="s">
        <v>55</v>
      </c>
      <c r="G579" s="19"/>
      <c r="H579" s="19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20">
        <v>46176.0</v>
      </c>
      <c r="B580" s="17" t="s">
        <v>52</v>
      </c>
      <c r="C580" s="17" t="s">
        <v>649</v>
      </c>
      <c r="D580" s="20">
        <v>29225.0</v>
      </c>
      <c r="E580" s="18" t="s">
        <v>54</v>
      </c>
      <c r="F580" s="30" t="s">
        <v>55</v>
      </c>
      <c r="G580" s="19"/>
      <c r="H580" s="19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20">
        <v>46176.0</v>
      </c>
      <c r="B581" s="17" t="s">
        <v>52</v>
      </c>
      <c r="C581" s="17" t="s">
        <v>650</v>
      </c>
      <c r="D581" s="20">
        <v>32063.0</v>
      </c>
      <c r="E581" s="18" t="s">
        <v>54</v>
      </c>
      <c r="F581" s="30" t="s">
        <v>55</v>
      </c>
      <c r="G581" s="19"/>
      <c r="H581" s="19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20">
        <v>46176.0</v>
      </c>
      <c r="B582" s="17" t="s">
        <v>52</v>
      </c>
      <c r="C582" s="17" t="s">
        <v>651</v>
      </c>
      <c r="D582" s="20">
        <v>31207.0</v>
      </c>
      <c r="E582" s="18" t="s">
        <v>54</v>
      </c>
      <c r="F582" s="30" t="s">
        <v>55</v>
      </c>
      <c r="G582" s="19"/>
      <c r="H582" s="19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20">
        <v>46176.0</v>
      </c>
      <c r="B583" s="17" t="s">
        <v>52</v>
      </c>
      <c r="C583" s="17" t="s">
        <v>652</v>
      </c>
      <c r="D583" s="20">
        <v>37881.0</v>
      </c>
      <c r="E583" s="18" t="s">
        <v>54</v>
      </c>
      <c r="F583" s="30" t="s">
        <v>55</v>
      </c>
      <c r="G583" s="19"/>
      <c r="H583" s="19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20">
        <v>46176.0</v>
      </c>
      <c r="B584" s="17" t="s">
        <v>52</v>
      </c>
      <c r="C584" s="17" t="s">
        <v>653</v>
      </c>
      <c r="D584" s="20">
        <v>25092.0</v>
      </c>
      <c r="E584" s="18" t="s">
        <v>54</v>
      </c>
      <c r="F584" s="30" t="s">
        <v>55</v>
      </c>
      <c r="G584" s="19"/>
      <c r="H584" s="19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20">
        <v>46176.0</v>
      </c>
      <c r="B585" s="17" t="s">
        <v>52</v>
      </c>
      <c r="C585" s="17" t="s">
        <v>654</v>
      </c>
      <c r="D585" s="20">
        <v>37441.0</v>
      </c>
      <c r="E585" s="18" t="s">
        <v>54</v>
      </c>
      <c r="F585" s="30" t="s">
        <v>55</v>
      </c>
      <c r="G585" s="19"/>
      <c r="H585" s="19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20">
        <v>46176.0</v>
      </c>
      <c r="B586" s="17" t="s">
        <v>52</v>
      </c>
      <c r="C586" s="17" t="s">
        <v>655</v>
      </c>
      <c r="D586" s="20">
        <v>31409.0</v>
      </c>
      <c r="E586" s="18" t="s">
        <v>54</v>
      </c>
      <c r="F586" s="30" t="s">
        <v>55</v>
      </c>
      <c r="G586" s="19"/>
      <c r="H586" s="19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20">
        <v>46176.0</v>
      </c>
      <c r="B587" s="17" t="s">
        <v>52</v>
      </c>
      <c r="C587" s="17" t="s">
        <v>656</v>
      </c>
      <c r="D587" s="20">
        <v>32050.0</v>
      </c>
      <c r="E587" s="18" t="s">
        <v>54</v>
      </c>
      <c r="F587" s="30" t="s">
        <v>55</v>
      </c>
      <c r="G587" s="19"/>
      <c r="H587" s="19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20">
        <v>46176.0</v>
      </c>
      <c r="B588" s="17" t="s">
        <v>52</v>
      </c>
      <c r="C588" s="17" t="s">
        <v>657</v>
      </c>
      <c r="D588" s="20">
        <v>28702.0</v>
      </c>
      <c r="E588" s="18" t="s">
        <v>54</v>
      </c>
      <c r="F588" s="30" t="s">
        <v>55</v>
      </c>
      <c r="G588" s="19"/>
      <c r="H588" s="19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20">
        <v>46176.0</v>
      </c>
      <c r="B589" s="17" t="s">
        <v>52</v>
      </c>
      <c r="C589" s="17" t="s">
        <v>658</v>
      </c>
      <c r="D589" s="20">
        <v>38847.0</v>
      </c>
      <c r="E589" s="18" t="s">
        <v>54</v>
      </c>
      <c r="F589" s="30" t="s">
        <v>55</v>
      </c>
      <c r="G589" s="19"/>
      <c r="H589" s="19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20">
        <v>46176.0</v>
      </c>
      <c r="B590" s="17" t="s">
        <v>52</v>
      </c>
      <c r="C590" s="17" t="s">
        <v>659</v>
      </c>
      <c r="D590" s="20">
        <v>39473.0</v>
      </c>
      <c r="E590" s="18" t="s">
        <v>54</v>
      </c>
      <c r="F590" s="30" t="s">
        <v>55</v>
      </c>
      <c r="G590" s="19"/>
      <c r="H590" s="19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20">
        <v>46176.0</v>
      </c>
      <c r="B591" s="17" t="s">
        <v>52</v>
      </c>
      <c r="C591" s="17" t="s">
        <v>660</v>
      </c>
      <c r="D591" s="20">
        <v>19880.0</v>
      </c>
      <c r="E591" s="18" t="s">
        <v>54</v>
      </c>
      <c r="F591" s="30" t="s">
        <v>55</v>
      </c>
      <c r="G591" s="19"/>
      <c r="H591" s="19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20">
        <v>46176.0</v>
      </c>
      <c r="B592" s="17" t="s">
        <v>52</v>
      </c>
      <c r="C592" s="17" t="s">
        <v>661</v>
      </c>
      <c r="D592" s="20">
        <v>33100.0</v>
      </c>
      <c r="E592" s="18" t="s">
        <v>54</v>
      </c>
      <c r="F592" s="30" t="s">
        <v>55</v>
      </c>
      <c r="G592" s="19"/>
      <c r="H592" s="19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20">
        <v>46176.0</v>
      </c>
      <c r="B593" s="17" t="s">
        <v>52</v>
      </c>
      <c r="C593" s="17" t="s">
        <v>662</v>
      </c>
      <c r="D593" s="20">
        <v>33014.0</v>
      </c>
      <c r="E593" s="18" t="s">
        <v>54</v>
      </c>
      <c r="F593" s="30" t="s">
        <v>55</v>
      </c>
      <c r="G593" s="19"/>
      <c r="H593" s="19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20">
        <v>46176.0</v>
      </c>
      <c r="B594" s="17" t="s">
        <v>52</v>
      </c>
      <c r="C594" s="17" t="s">
        <v>663</v>
      </c>
      <c r="D594" s="20">
        <v>26611.0</v>
      </c>
      <c r="E594" s="18" t="s">
        <v>54</v>
      </c>
      <c r="F594" s="30" t="s">
        <v>55</v>
      </c>
      <c r="G594" s="19"/>
      <c r="H594" s="19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20">
        <v>46177.0</v>
      </c>
      <c r="B595" s="17" t="s">
        <v>352</v>
      </c>
      <c r="C595" s="17" t="s">
        <v>664</v>
      </c>
      <c r="D595" s="20">
        <v>28042.0</v>
      </c>
      <c r="E595" s="18" t="s">
        <v>74</v>
      </c>
      <c r="F595" s="30" t="s">
        <v>55</v>
      </c>
      <c r="G595" s="19"/>
      <c r="H595" s="19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20">
        <v>46177.0</v>
      </c>
      <c r="B596" s="17" t="s">
        <v>352</v>
      </c>
      <c r="C596" s="17" t="s">
        <v>665</v>
      </c>
      <c r="D596" s="20">
        <v>30315.0</v>
      </c>
      <c r="E596" s="18" t="s">
        <v>74</v>
      </c>
      <c r="F596" s="30" t="s">
        <v>55</v>
      </c>
      <c r="G596" s="19"/>
      <c r="H596" s="19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33">
        <v>46177.0</v>
      </c>
      <c r="B597" s="34" t="s">
        <v>352</v>
      </c>
      <c r="C597" s="34" t="s">
        <v>666</v>
      </c>
      <c r="D597" s="33">
        <v>33817.0</v>
      </c>
      <c r="E597" s="35" t="s">
        <v>74</v>
      </c>
      <c r="F597" s="14" t="s">
        <v>55</v>
      </c>
      <c r="G597" s="36"/>
      <c r="H597" s="36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</row>
    <row r="598">
      <c r="A598" s="20">
        <v>46177.0</v>
      </c>
      <c r="B598" s="17" t="s">
        <v>352</v>
      </c>
      <c r="C598" s="17" t="s">
        <v>667</v>
      </c>
      <c r="D598" s="20">
        <v>33461.0</v>
      </c>
      <c r="E598" s="18" t="s">
        <v>74</v>
      </c>
      <c r="F598" s="30" t="s">
        <v>55</v>
      </c>
      <c r="G598" s="19"/>
      <c r="H598" s="19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20">
        <v>46177.0</v>
      </c>
      <c r="B599" s="17" t="s">
        <v>352</v>
      </c>
      <c r="C599" s="17" t="s">
        <v>668</v>
      </c>
      <c r="D599" s="20">
        <v>29260.0</v>
      </c>
      <c r="E599" s="18" t="s">
        <v>74</v>
      </c>
      <c r="F599" s="30" t="s">
        <v>55</v>
      </c>
      <c r="G599" s="19"/>
      <c r="H599" s="19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20">
        <v>46177.0</v>
      </c>
      <c r="B600" s="17" t="s">
        <v>352</v>
      </c>
      <c r="C600" s="17" t="s">
        <v>669</v>
      </c>
      <c r="D600" s="20">
        <v>27758.0</v>
      </c>
      <c r="E600" s="18" t="s">
        <v>74</v>
      </c>
      <c r="F600" s="30" t="s">
        <v>55</v>
      </c>
      <c r="G600" s="19"/>
      <c r="H600" s="19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20">
        <v>46177.0</v>
      </c>
      <c r="B601" s="17" t="s">
        <v>352</v>
      </c>
      <c r="C601" s="17" t="s">
        <v>670</v>
      </c>
      <c r="D601" s="20">
        <v>26838.0</v>
      </c>
      <c r="E601" s="18" t="s">
        <v>74</v>
      </c>
      <c r="F601" s="30" t="s">
        <v>55</v>
      </c>
      <c r="G601" s="19"/>
      <c r="H601" s="19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20">
        <v>46177.0</v>
      </c>
      <c r="B602" s="17" t="s">
        <v>352</v>
      </c>
      <c r="C602" s="17" t="s">
        <v>671</v>
      </c>
      <c r="D602" s="20">
        <v>35236.0</v>
      </c>
      <c r="E602" s="18" t="s">
        <v>74</v>
      </c>
      <c r="F602" s="30" t="s">
        <v>55</v>
      </c>
      <c r="G602" s="19"/>
      <c r="H602" s="19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20">
        <v>46177.0</v>
      </c>
      <c r="B603" s="17" t="s">
        <v>352</v>
      </c>
      <c r="C603" s="17" t="s">
        <v>672</v>
      </c>
      <c r="D603" s="20">
        <v>28338.0</v>
      </c>
      <c r="E603" s="18" t="s">
        <v>74</v>
      </c>
      <c r="F603" s="30" t="s">
        <v>55</v>
      </c>
      <c r="G603" s="19"/>
      <c r="H603" s="19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20">
        <v>46177.0</v>
      </c>
      <c r="B604" s="17" t="s">
        <v>352</v>
      </c>
      <c r="C604" s="17" t="s">
        <v>673</v>
      </c>
      <c r="D604" s="20">
        <v>35189.0</v>
      </c>
      <c r="E604" s="18" t="s">
        <v>74</v>
      </c>
      <c r="F604" s="30" t="s">
        <v>55</v>
      </c>
      <c r="G604" s="19"/>
      <c r="H604" s="19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20">
        <v>46177.0</v>
      </c>
      <c r="B605" s="17" t="s">
        <v>352</v>
      </c>
      <c r="C605" s="17" t="s">
        <v>674</v>
      </c>
      <c r="D605" s="20">
        <v>35444.0</v>
      </c>
      <c r="E605" s="18" t="s">
        <v>74</v>
      </c>
      <c r="F605" s="30" t="s">
        <v>55</v>
      </c>
      <c r="G605" s="19"/>
      <c r="H605" s="19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20">
        <v>46177.0</v>
      </c>
      <c r="B606" s="17" t="s">
        <v>352</v>
      </c>
      <c r="C606" s="17" t="s">
        <v>675</v>
      </c>
      <c r="D606" s="20">
        <v>32436.0</v>
      </c>
      <c r="E606" s="18" t="s">
        <v>74</v>
      </c>
      <c r="F606" s="30" t="s">
        <v>55</v>
      </c>
      <c r="G606" s="19"/>
      <c r="H606" s="19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20">
        <v>46177.0</v>
      </c>
      <c r="B607" s="17" t="s">
        <v>352</v>
      </c>
      <c r="C607" s="17" t="s">
        <v>676</v>
      </c>
      <c r="D607" s="20">
        <v>30856.0</v>
      </c>
      <c r="E607" s="18" t="s">
        <v>74</v>
      </c>
      <c r="F607" s="30" t="s">
        <v>55</v>
      </c>
      <c r="G607" s="19"/>
      <c r="H607" s="19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20">
        <v>46177.0</v>
      </c>
      <c r="B608" s="17" t="s">
        <v>352</v>
      </c>
      <c r="C608" s="17" t="s">
        <v>677</v>
      </c>
      <c r="D608" s="20">
        <v>26250.0</v>
      </c>
      <c r="E608" s="18" t="s">
        <v>74</v>
      </c>
      <c r="F608" s="30" t="s">
        <v>55</v>
      </c>
      <c r="G608" s="19"/>
      <c r="H608" s="19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20">
        <v>46177.0</v>
      </c>
      <c r="B609" s="17" t="s">
        <v>352</v>
      </c>
      <c r="C609" s="17" t="s">
        <v>678</v>
      </c>
      <c r="D609" s="20">
        <v>22992.0</v>
      </c>
      <c r="E609" s="18" t="s">
        <v>81</v>
      </c>
      <c r="F609" s="30" t="s">
        <v>55</v>
      </c>
      <c r="G609" s="19"/>
      <c r="H609" s="19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20">
        <v>46177.0</v>
      </c>
      <c r="B610" s="17" t="s">
        <v>352</v>
      </c>
      <c r="C610" s="17" t="s">
        <v>679</v>
      </c>
      <c r="D610" s="20">
        <v>38591.0</v>
      </c>
      <c r="E610" s="18" t="s">
        <v>81</v>
      </c>
      <c r="F610" s="30" t="s">
        <v>55</v>
      </c>
      <c r="G610" s="19"/>
      <c r="H610" s="19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20">
        <v>46177.0</v>
      </c>
      <c r="B611" s="17" t="s">
        <v>352</v>
      </c>
      <c r="C611" s="17" t="s">
        <v>680</v>
      </c>
      <c r="D611" s="20">
        <v>33657.0</v>
      </c>
      <c r="E611" s="18" t="s">
        <v>81</v>
      </c>
      <c r="F611" s="30" t="s">
        <v>55</v>
      </c>
      <c r="G611" s="19"/>
      <c r="H611" s="19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20">
        <v>46177.0</v>
      </c>
      <c r="B612" s="17" t="s">
        <v>52</v>
      </c>
      <c r="C612" s="17" t="s">
        <v>681</v>
      </c>
      <c r="D612" s="20">
        <v>37040.0</v>
      </c>
      <c r="E612" s="18" t="s">
        <v>54</v>
      </c>
      <c r="F612" s="30" t="s">
        <v>55</v>
      </c>
      <c r="G612" s="19"/>
      <c r="H612" s="19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20">
        <v>46177.0</v>
      </c>
      <c r="B613" s="17" t="s">
        <v>52</v>
      </c>
      <c r="C613" s="17" t="s">
        <v>682</v>
      </c>
      <c r="D613" s="20">
        <v>26532.0</v>
      </c>
      <c r="E613" s="18" t="s">
        <v>54</v>
      </c>
      <c r="F613" s="30" t="s">
        <v>55</v>
      </c>
      <c r="G613" s="19"/>
      <c r="H613" s="19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20">
        <v>46177.0</v>
      </c>
      <c r="B614" s="17" t="s">
        <v>52</v>
      </c>
      <c r="C614" s="17" t="s">
        <v>683</v>
      </c>
      <c r="D614" s="20">
        <v>23683.0</v>
      </c>
      <c r="E614" s="18" t="s">
        <v>54</v>
      </c>
      <c r="F614" s="30" t="s">
        <v>55</v>
      </c>
      <c r="G614" s="19"/>
      <c r="H614" s="19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20">
        <v>46177.0</v>
      </c>
      <c r="B615" s="17" t="s">
        <v>52</v>
      </c>
      <c r="C615" s="17" t="s">
        <v>684</v>
      </c>
      <c r="D615" s="20">
        <v>30365.0</v>
      </c>
      <c r="E615" s="18" t="s">
        <v>54</v>
      </c>
      <c r="F615" s="30" t="s">
        <v>55</v>
      </c>
      <c r="G615" s="19"/>
      <c r="H615" s="19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20">
        <v>46177.0</v>
      </c>
      <c r="B616" s="17" t="s">
        <v>52</v>
      </c>
      <c r="C616" s="17" t="s">
        <v>685</v>
      </c>
      <c r="D616" s="20">
        <v>26533.0</v>
      </c>
      <c r="E616" s="18" t="s">
        <v>54</v>
      </c>
      <c r="F616" s="30" t="s">
        <v>55</v>
      </c>
      <c r="G616" s="19"/>
      <c r="H616" s="19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20">
        <v>46177.0</v>
      </c>
      <c r="B617" s="17" t="s">
        <v>52</v>
      </c>
      <c r="C617" s="17" t="s">
        <v>686</v>
      </c>
      <c r="D617" s="20">
        <v>25268.0</v>
      </c>
      <c r="E617" s="18" t="s">
        <v>54</v>
      </c>
      <c r="F617" s="30" t="s">
        <v>55</v>
      </c>
      <c r="G617" s="19"/>
      <c r="H617" s="19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20">
        <v>46177.0</v>
      </c>
      <c r="B618" s="17" t="s">
        <v>52</v>
      </c>
      <c r="C618" s="17" t="s">
        <v>687</v>
      </c>
      <c r="D618" s="20">
        <v>33015.0</v>
      </c>
      <c r="E618" s="18" t="s">
        <v>54</v>
      </c>
      <c r="F618" s="30" t="s">
        <v>55</v>
      </c>
      <c r="G618" s="19"/>
      <c r="H618" s="19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20">
        <v>46177.0</v>
      </c>
      <c r="B619" s="17" t="s">
        <v>52</v>
      </c>
      <c r="C619" s="17" t="s">
        <v>688</v>
      </c>
      <c r="D619" s="20">
        <v>20358.0</v>
      </c>
      <c r="E619" s="18" t="s">
        <v>54</v>
      </c>
      <c r="F619" s="30" t="s">
        <v>55</v>
      </c>
      <c r="G619" s="19"/>
      <c r="H619" s="19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20">
        <v>46177.0</v>
      </c>
      <c r="B620" s="17" t="s">
        <v>52</v>
      </c>
      <c r="C620" s="17" t="s">
        <v>689</v>
      </c>
      <c r="D620" s="20">
        <v>37839.0</v>
      </c>
      <c r="E620" s="18" t="s">
        <v>54</v>
      </c>
      <c r="F620" s="30" t="s">
        <v>55</v>
      </c>
      <c r="G620" s="19"/>
      <c r="H620" s="19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20">
        <v>46177.0</v>
      </c>
      <c r="B621" s="17" t="s">
        <v>52</v>
      </c>
      <c r="C621" s="17" t="s">
        <v>690</v>
      </c>
      <c r="D621" s="20">
        <v>32435.0</v>
      </c>
      <c r="E621" s="18" t="s">
        <v>54</v>
      </c>
      <c r="F621" s="30" t="s">
        <v>55</v>
      </c>
      <c r="G621" s="19"/>
      <c r="H621" s="19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20">
        <v>46177.0</v>
      </c>
      <c r="B622" s="17" t="s">
        <v>52</v>
      </c>
      <c r="C622" s="17" t="s">
        <v>691</v>
      </c>
      <c r="D622" s="20">
        <v>33815.0</v>
      </c>
      <c r="E622" s="18" t="s">
        <v>54</v>
      </c>
      <c r="F622" s="30" t="s">
        <v>55</v>
      </c>
      <c r="G622" s="19"/>
      <c r="H622" s="19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20">
        <v>46177.0</v>
      </c>
      <c r="B623" s="17" t="s">
        <v>52</v>
      </c>
      <c r="C623" s="17" t="s">
        <v>692</v>
      </c>
      <c r="D623" s="20">
        <v>34352.0</v>
      </c>
      <c r="E623" s="18" t="s">
        <v>54</v>
      </c>
      <c r="F623" s="30" t="s">
        <v>55</v>
      </c>
      <c r="G623" s="19"/>
      <c r="H623" s="19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20">
        <v>46177.0</v>
      </c>
      <c r="B624" s="17" t="s">
        <v>52</v>
      </c>
      <c r="C624" s="17" t="s">
        <v>693</v>
      </c>
      <c r="D624" s="20">
        <v>23281.0</v>
      </c>
      <c r="E624" s="18" t="s">
        <v>54</v>
      </c>
      <c r="F624" s="30" t="s">
        <v>55</v>
      </c>
      <c r="G624" s="19"/>
      <c r="H624" s="19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20">
        <v>46177.0</v>
      </c>
      <c r="B625" s="17" t="s">
        <v>52</v>
      </c>
      <c r="C625" s="17" t="s">
        <v>694</v>
      </c>
      <c r="D625" s="20">
        <v>26809.0</v>
      </c>
      <c r="E625" s="18" t="s">
        <v>54</v>
      </c>
      <c r="F625" s="30" t="s">
        <v>55</v>
      </c>
      <c r="G625" s="19"/>
      <c r="H625" s="19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20">
        <v>46177.0</v>
      </c>
      <c r="B626" s="17" t="s">
        <v>52</v>
      </c>
      <c r="C626" s="17" t="s">
        <v>695</v>
      </c>
      <c r="D626" s="20">
        <v>31629.0</v>
      </c>
      <c r="E626" s="18" t="s">
        <v>54</v>
      </c>
      <c r="F626" s="30" t="s">
        <v>55</v>
      </c>
      <c r="G626" s="19"/>
      <c r="H626" s="19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20">
        <v>46177.0</v>
      </c>
      <c r="B627" s="17" t="s">
        <v>52</v>
      </c>
      <c r="C627" s="17" t="s">
        <v>696</v>
      </c>
      <c r="D627" s="20">
        <v>33167.0</v>
      </c>
      <c r="E627" s="18" t="s">
        <v>54</v>
      </c>
      <c r="F627" s="30" t="s">
        <v>55</v>
      </c>
      <c r="G627" s="19"/>
      <c r="H627" s="19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20">
        <v>46177.0</v>
      </c>
      <c r="B628" s="17" t="s">
        <v>52</v>
      </c>
      <c r="C628" s="17" t="s">
        <v>697</v>
      </c>
      <c r="D628" s="20">
        <v>26128.0</v>
      </c>
      <c r="E628" s="18" t="s">
        <v>54</v>
      </c>
      <c r="F628" s="30" t="s">
        <v>55</v>
      </c>
      <c r="G628" s="19"/>
      <c r="H628" s="19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20">
        <v>46177.0</v>
      </c>
      <c r="B629" s="17" t="s">
        <v>52</v>
      </c>
      <c r="C629" s="17" t="s">
        <v>698</v>
      </c>
      <c r="D629" s="20">
        <v>30263.0</v>
      </c>
      <c r="E629" s="18" t="s">
        <v>54</v>
      </c>
      <c r="F629" s="30" t="s">
        <v>55</v>
      </c>
      <c r="G629" s="19"/>
      <c r="H629" s="19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20">
        <v>46177.0</v>
      </c>
      <c r="B630" s="17" t="s">
        <v>52</v>
      </c>
      <c r="C630" s="17" t="s">
        <v>699</v>
      </c>
      <c r="D630" s="20">
        <v>24191.0</v>
      </c>
      <c r="E630" s="18" t="s">
        <v>54</v>
      </c>
      <c r="F630" s="30" t="s">
        <v>55</v>
      </c>
      <c r="G630" s="19"/>
      <c r="H630" s="19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20">
        <v>46177.0</v>
      </c>
      <c r="B631" s="17" t="s">
        <v>52</v>
      </c>
      <c r="C631" s="17" t="s">
        <v>700</v>
      </c>
      <c r="D631" s="20">
        <v>34592.0</v>
      </c>
      <c r="E631" s="18" t="s">
        <v>54</v>
      </c>
      <c r="F631" s="30" t="s">
        <v>55</v>
      </c>
      <c r="G631" s="19"/>
      <c r="H631" s="19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20">
        <v>46177.0</v>
      </c>
      <c r="B632" s="17" t="s">
        <v>52</v>
      </c>
      <c r="C632" s="17" t="s">
        <v>701</v>
      </c>
      <c r="D632" s="20">
        <v>28334.0</v>
      </c>
      <c r="E632" s="18" t="s">
        <v>54</v>
      </c>
      <c r="F632" s="30" t="s">
        <v>55</v>
      </c>
      <c r="G632" s="19"/>
      <c r="H632" s="19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20">
        <v>46177.0</v>
      </c>
      <c r="B633" s="17" t="s">
        <v>52</v>
      </c>
      <c r="C633" s="17" t="s">
        <v>702</v>
      </c>
      <c r="D633" s="20">
        <v>31318.0</v>
      </c>
      <c r="E633" s="18" t="s">
        <v>54</v>
      </c>
      <c r="F633" s="30" t="s">
        <v>55</v>
      </c>
      <c r="G633" s="19"/>
      <c r="H633" s="19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20">
        <v>46177.0</v>
      </c>
      <c r="B634" s="17" t="s">
        <v>52</v>
      </c>
      <c r="C634" s="17" t="s">
        <v>703</v>
      </c>
      <c r="D634" s="20">
        <v>27069.0</v>
      </c>
      <c r="E634" s="18" t="s">
        <v>54</v>
      </c>
      <c r="F634" s="30" t="s">
        <v>55</v>
      </c>
      <c r="G634" s="19"/>
      <c r="H634" s="19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20">
        <v>46177.0</v>
      </c>
      <c r="B635" s="17" t="s">
        <v>52</v>
      </c>
      <c r="C635" s="17" t="s">
        <v>704</v>
      </c>
      <c r="D635" s="20">
        <v>30011.0</v>
      </c>
      <c r="E635" s="18" t="s">
        <v>54</v>
      </c>
      <c r="F635" s="30" t="s">
        <v>55</v>
      </c>
      <c r="G635" s="19"/>
      <c r="H635" s="19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20">
        <v>46181.0</v>
      </c>
      <c r="B636" s="17" t="s">
        <v>52</v>
      </c>
      <c r="C636" s="17" t="s">
        <v>705</v>
      </c>
      <c r="D636" s="20">
        <v>26672.0</v>
      </c>
      <c r="E636" s="18" t="s">
        <v>81</v>
      </c>
      <c r="F636" s="30" t="s">
        <v>55</v>
      </c>
      <c r="G636" s="19"/>
      <c r="H636" s="19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20">
        <v>46181.0</v>
      </c>
      <c r="B637" s="17" t="s">
        <v>52</v>
      </c>
      <c r="C637" s="17" t="s">
        <v>706</v>
      </c>
      <c r="D637" s="20">
        <v>36801.0</v>
      </c>
      <c r="E637" s="18" t="s">
        <v>81</v>
      </c>
      <c r="F637" s="30" t="s">
        <v>55</v>
      </c>
      <c r="G637" s="19"/>
      <c r="H637" s="19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20">
        <v>46181.0</v>
      </c>
      <c r="B638" s="17" t="s">
        <v>52</v>
      </c>
      <c r="C638" s="17" t="s">
        <v>707</v>
      </c>
      <c r="D638" s="20">
        <v>25000.0</v>
      </c>
      <c r="E638" s="18" t="s">
        <v>81</v>
      </c>
      <c r="F638" s="30" t="s">
        <v>55</v>
      </c>
      <c r="G638" s="19"/>
      <c r="H638" s="19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20">
        <v>46181.0</v>
      </c>
      <c r="B639" s="17" t="s">
        <v>52</v>
      </c>
      <c r="C639" s="17" t="s">
        <v>708</v>
      </c>
      <c r="D639" s="20">
        <v>34456.0</v>
      </c>
      <c r="E639" s="18" t="s">
        <v>81</v>
      </c>
      <c r="F639" s="30" t="s">
        <v>55</v>
      </c>
      <c r="G639" s="19"/>
      <c r="H639" s="19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20">
        <v>46181.0</v>
      </c>
      <c r="B640" s="17" t="s">
        <v>52</v>
      </c>
      <c r="C640" s="17" t="s">
        <v>709</v>
      </c>
      <c r="D640" s="20">
        <v>32418.0</v>
      </c>
      <c r="E640" s="18" t="s">
        <v>81</v>
      </c>
      <c r="F640" s="30" t="s">
        <v>55</v>
      </c>
      <c r="G640" s="19"/>
      <c r="H640" s="19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20">
        <v>46181.0</v>
      </c>
      <c r="B641" s="17" t="s">
        <v>52</v>
      </c>
      <c r="C641" s="17" t="s">
        <v>710</v>
      </c>
      <c r="D641" s="20">
        <v>29608.0</v>
      </c>
      <c r="E641" s="18" t="s">
        <v>81</v>
      </c>
      <c r="F641" s="30" t="s">
        <v>55</v>
      </c>
      <c r="G641" s="19"/>
      <c r="H641" s="19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20">
        <v>46181.0</v>
      </c>
      <c r="B642" s="17" t="s">
        <v>52</v>
      </c>
      <c r="C642" s="17" t="s">
        <v>711</v>
      </c>
      <c r="D642" s="20">
        <v>32992.0</v>
      </c>
      <c r="E642" s="18" t="s">
        <v>81</v>
      </c>
      <c r="F642" s="30" t="s">
        <v>55</v>
      </c>
      <c r="G642" s="19"/>
      <c r="H642" s="19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20">
        <v>46181.0</v>
      </c>
      <c r="B643" s="17" t="s">
        <v>52</v>
      </c>
      <c r="C643" s="17" t="s">
        <v>712</v>
      </c>
      <c r="D643" s="20">
        <v>26033.0</v>
      </c>
      <c r="E643" s="18" t="s">
        <v>81</v>
      </c>
      <c r="F643" s="30" t="s">
        <v>55</v>
      </c>
      <c r="G643" s="19"/>
      <c r="H643" s="19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20">
        <v>46181.0</v>
      </c>
      <c r="B644" s="17" t="s">
        <v>52</v>
      </c>
      <c r="C644" s="17" t="s">
        <v>713</v>
      </c>
      <c r="D644" s="20">
        <v>33743.0</v>
      </c>
      <c r="E644" s="18" t="s">
        <v>81</v>
      </c>
      <c r="F644" s="30" t="s">
        <v>55</v>
      </c>
      <c r="G644" s="19"/>
      <c r="H644" s="19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20">
        <v>46181.0</v>
      </c>
      <c r="B645" s="17" t="s">
        <v>52</v>
      </c>
      <c r="C645" s="17" t="s">
        <v>714</v>
      </c>
      <c r="D645" s="20">
        <v>22783.0</v>
      </c>
      <c r="E645" s="18" t="s">
        <v>81</v>
      </c>
      <c r="F645" s="30" t="s">
        <v>55</v>
      </c>
      <c r="G645" s="19"/>
      <c r="H645" s="19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20">
        <v>46181.0</v>
      </c>
      <c r="B646" s="17" t="s">
        <v>52</v>
      </c>
      <c r="C646" s="17" t="s">
        <v>715</v>
      </c>
      <c r="D646" s="20">
        <v>33308.0</v>
      </c>
      <c r="E646" s="18" t="s">
        <v>81</v>
      </c>
      <c r="F646" s="30" t="s">
        <v>55</v>
      </c>
      <c r="G646" s="19"/>
      <c r="H646" s="19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20">
        <v>46181.0</v>
      </c>
      <c r="B647" s="17" t="s">
        <v>52</v>
      </c>
      <c r="C647" s="17" t="s">
        <v>716</v>
      </c>
      <c r="D647" s="20">
        <v>38415.0</v>
      </c>
      <c r="E647" s="18" t="s">
        <v>81</v>
      </c>
      <c r="F647" s="30" t="s">
        <v>55</v>
      </c>
      <c r="G647" s="19"/>
      <c r="H647" s="19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20">
        <v>46181.0</v>
      </c>
      <c r="B648" s="17" t="s">
        <v>52</v>
      </c>
      <c r="C648" s="17" t="s">
        <v>717</v>
      </c>
      <c r="D648" s="20" t="s">
        <v>718</v>
      </c>
      <c r="E648" s="18" t="s">
        <v>81</v>
      </c>
      <c r="F648" s="30" t="s">
        <v>55</v>
      </c>
      <c r="G648" s="19"/>
      <c r="H648" s="19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20">
        <v>46181.0</v>
      </c>
      <c r="B649" s="17" t="s">
        <v>52</v>
      </c>
      <c r="C649" s="17" t="s">
        <v>719</v>
      </c>
      <c r="D649" s="20">
        <v>36380.0</v>
      </c>
      <c r="E649" s="18" t="s">
        <v>81</v>
      </c>
      <c r="F649" s="30" t="s">
        <v>55</v>
      </c>
      <c r="G649" s="19"/>
      <c r="H649" s="19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20">
        <v>46181.0</v>
      </c>
      <c r="B650" s="17" t="s">
        <v>52</v>
      </c>
      <c r="C650" s="17" t="s">
        <v>720</v>
      </c>
      <c r="D650" s="20">
        <v>27229.0</v>
      </c>
      <c r="E650" s="18" t="s">
        <v>81</v>
      </c>
      <c r="F650" s="30" t="s">
        <v>55</v>
      </c>
      <c r="G650" s="19"/>
      <c r="H650" s="19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20">
        <v>46181.0</v>
      </c>
      <c r="B651" s="17" t="s">
        <v>52</v>
      </c>
      <c r="C651" s="17" t="s">
        <v>721</v>
      </c>
      <c r="D651" s="20">
        <v>23820.0</v>
      </c>
      <c r="E651" s="18" t="s">
        <v>722</v>
      </c>
      <c r="F651" s="30" t="s">
        <v>55</v>
      </c>
      <c r="G651" s="19"/>
      <c r="H651" s="19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20">
        <v>46181.0</v>
      </c>
      <c r="B652" s="17" t="s">
        <v>52</v>
      </c>
      <c r="C652" s="17" t="s">
        <v>723</v>
      </c>
      <c r="D652" s="20">
        <v>32528.0</v>
      </c>
      <c r="E652" s="18" t="s">
        <v>722</v>
      </c>
      <c r="F652" s="30" t="s">
        <v>55</v>
      </c>
      <c r="G652" s="19"/>
      <c r="H652" s="19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20">
        <v>46181.0</v>
      </c>
      <c r="B653" s="17" t="s">
        <v>52</v>
      </c>
      <c r="C653" s="17" t="s">
        <v>724</v>
      </c>
      <c r="D653" s="20">
        <v>33728.0</v>
      </c>
      <c r="E653" s="18" t="s">
        <v>722</v>
      </c>
      <c r="F653" s="30" t="s">
        <v>55</v>
      </c>
      <c r="G653" s="19"/>
      <c r="H653" s="19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20">
        <v>46181.0</v>
      </c>
      <c r="B654" s="17" t="s">
        <v>52</v>
      </c>
      <c r="C654" s="17" t="s">
        <v>725</v>
      </c>
      <c r="D654" s="23">
        <v>26266.0</v>
      </c>
      <c r="E654" s="18" t="s">
        <v>722</v>
      </c>
      <c r="F654" s="30" t="s">
        <v>55</v>
      </c>
      <c r="G654" s="19"/>
      <c r="H654" s="19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20">
        <v>46181.0</v>
      </c>
      <c r="B655" s="17" t="s">
        <v>52</v>
      </c>
      <c r="C655" s="17" t="s">
        <v>726</v>
      </c>
      <c r="D655" s="20">
        <v>39495.0</v>
      </c>
      <c r="E655" s="18" t="s">
        <v>722</v>
      </c>
      <c r="F655" s="30" t="s">
        <v>55</v>
      </c>
      <c r="G655" s="19"/>
      <c r="H655" s="19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20">
        <v>46181.0</v>
      </c>
      <c r="B656" s="17" t="s">
        <v>52</v>
      </c>
      <c r="C656" s="17" t="s">
        <v>727</v>
      </c>
      <c r="D656" s="20">
        <v>30406.0</v>
      </c>
      <c r="E656" s="18" t="s">
        <v>722</v>
      </c>
      <c r="F656" s="30" t="s">
        <v>55</v>
      </c>
      <c r="G656" s="19"/>
      <c r="H656" s="19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20">
        <v>46181.0</v>
      </c>
      <c r="B657" s="17" t="s">
        <v>52</v>
      </c>
      <c r="C657" s="17" t="s">
        <v>728</v>
      </c>
      <c r="D657" s="20">
        <v>30337.0</v>
      </c>
      <c r="E657" s="18" t="s">
        <v>722</v>
      </c>
      <c r="F657" s="30" t="s">
        <v>55</v>
      </c>
      <c r="G657" s="19"/>
      <c r="H657" s="19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20">
        <v>46181.0</v>
      </c>
      <c r="B658" s="17" t="s">
        <v>52</v>
      </c>
      <c r="C658" s="17" t="s">
        <v>729</v>
      </c>
      <c r="D658" s="20">
        <v>31480.0</v>
      </c>
      <c r="E658" s="18" t="s">
        <v>722</v>
      </c>
      <c r="F658" s="30" t="s">
        <v>55</v>
      </c>
      <c r="G658" s="19"/>
      <c r="H658" s="19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20">
        <v>46181.0</v>
      </c>
      <c r="B659" s="17" t="s">
        <v>52</v>
      </c>
      <c r="C659" s="17" t="s">
        <v>730</v>
      </c>
      <c r="D659" s="23">
        <v>20406.0</v>
      </c>
      <c r="E659" s="18" t="s">
        <v>722</v>
      </c>
      <c r="F659" s="30" t="s">
        <v>55</v>
      </c>
      <c r="G659" s="19"/>
      <c r="H659" s="19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20">
        <v>46181.0</v>
      </c>
      <c r="B660" s="17" t="s">
        <v>52</v>
      </c>
      <c r="C660" s="17" t="s">
        <v>731</v>
      </c>
      <c r="D660" s="20">
        <v>26186.0</v>
      </c>
      <c r="E660" s="18" t="s">
        <v>722</v>
      </c>
      <c r="F660" s="30" t="s">
        <v>55</v>
      </c>
      <c r="G660" s="19"/>
      <c r="H660" s="19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20">
        <v>46181.0</v>
      </c>
      <c r="B661" s="17" t="s">
        <v>52</v>
      </c>
      <c r="C661" s="17" t="s">
        <v>732</v>
      </c>
      <c r="D661" s="20">
        <v>28383.0</v>
      </c>
      <c r="E661" s="18" t="s">
        <v>722</v>
      </c>
      <c r="F661" s="30" t="s">
        <v>55</v>
      </c>
      <c r="G661" s="19"/>
      <c r="H661" s="19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20">
        <v>46181.0</v>
      </c>
      <c r="B662" s="17" t="s">
        <v>52</v>
      </c>
      <c r="C662" s="17" t="s">
        <v>733</v>
      </c>
      <c r="D662" s="20">
        <v>32843.0</v>
      </c>
      <c r="E662" s="18" t="s">
        <v>722</v>
      </c>
      <c r="F662" s="30" t="s">
        <v>55</v>
      </c>
      <c r="G662" s="19"/>
      <c r="H662" s="19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20">
        <v>46181.0</v>
      </c>
      <c r="B663" s="17" t="s">
        <v>52</v>
      </c>
      <c r="C663" s="17" t="s">
        <v>734</v>
      </c>
      <c r="D663" s="20">
        <v>30115.0</v>
      </c>
      <c r="E663" s="18" t="s">
        <v>722</v>
      </c>
      <c r="F663" s="30" t="s">
        <v>55</v>
      </c>
      <c r="G663" s="19"/>
      <c r="H663" s="19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20">
        <v>46181.0</v>
      </c>
      <c r="B664" s="17" t="s">
        <v>52</v>
      </c>
      <c r="C664" s="17" t="s">
        <v>735</v>
      </c>
      <c r="D664" s="20">
        <v>35875.0</v>
      </c>
      <c r="E664" s="18" t="s">
        <v>722</v>
      </c>
      <c r="F664" s="30" t="s">
        <v>55</v>
      </c>
      <c r="G664" s="19"/>
      <c r="H664" s="19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20">
        <v>46181.0</v>
      </c>
      <c r="B665" s="17" t="s">
        <v>352</v>
      </c>
      <c r="C665" s="17" t="s">
        <v>736</v>
      </c>
      <c r="D665" s="20">
        <v>32773.0</v>
      </c>
      <c r="E665" s="18" t="s">
        <v>74</v>
      </c>
      <c r="F665" s="30" t="s">
        <v>55</v>
      </c>
      <c r="G665" s="19"/>
      <c r="H665" s="19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20">
        <v>46181.0</v>
      </c>
      <c r="B666" s="17" t="s">
        <v>352</v>
      </c>
      <c r="C666" s="17" t="s">
        <v>737</v>
      </c>
      <c r="D666" s="20">
        <v>32115.0</v>
      </c>
      <c r="E666" s="18" t="s">
        <v>74</v>
      </c>
      <c r="F666" s="30" t="s">
        <v>55</v>
      </c>
      <c r="G666" s="19"/>
      <c r="H666" s="19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20">
        <v>46181.0</v>
      </c>
      <c r="B667" s="17" t="s">
        <v>352</v>
      </c>
      <c r="C667" s="17" t="s">
        <v>738</v>
      </c>
      <c r="D667" s="20">
        <v>37380.0</v>
      </c>
      <c r="E667" s="18" t="s">
        <v>74</v>
      </c>
      <c r="F667" s="30" t="s">
        <v>55</v>
      </c>
      <c r="G667" s="19"/>
      <c r="H667" s="19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20">
        <v>46181.0</v>
      </c>
      <c r="B668" s="17" t="s">
        <v>352</v>
      </c>
      <c r="C668" s="17" t="s">
        <v>739</v>
      </c>
      <c r="D668" s="23">
        <v>29912.0</v>
      </c>
      <c r="E668" s="18" t="s">
        <v>74</v>
      </c>
      <c r="F668" s="30" t="s">
        <v>55</v>
      </c>
      <c r="G668" s="19"/>
      <c r="H668" s="19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20">
        <v>46181.0</v>
      </c>
      <c r="B669" s="17" t="s">
        <v>352</v>
      </c>
      <c r="C669" s="17" t="s">
        <v>740</v>
      </c>
      <c r="D669" s="20">
        <v>24021.0</v>
      </c>
      <c r="E669" s="18" t="s">
        <v>74</v>
      </c>
      <c r="F669" s="30" t="s">
        <v>55</v>
      </c>
      <c r="G669" s="19"/>
      <c r="H669" s="19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20">
        <v>46181.0</v>
      </c>
      <c r="B670" s="17" t="s">
        <v>352</v>
      </c>
      <c r="C670" s="17" t="s">
        <v>741</v>
      </c>
      <c r="D670" s="20">
        <v>33342.0</v>
      </c>
      <c r="E670" s="18" t="s">
        <v>74</v>
      </c>
      <c r="F670" s="30" t="s">
        <v>55</v>
      </c>
      <c r="G670" s="19"/>
      <c r="H670" s="19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20">
        <v>46181.0</v>
      </c>
      <c r="B671" s="17" t="s">
        <v>352</v>
      </c>
      <c r="C671" s="17" t="s">
        <v>742</v>
      </c>
      <c r="D671" s="20">
        <v>36170.0</v>
      </c>
      <c r="E671" s="18" t="s">
        <v>74</v>
      </c>
      <c r="F671" s="30" t="s">
        <v>55</v>
      </c>
      <c r="G671" s="19"/>
      <c r="H671" s="19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20">
        <v>46181.0</v>
      </c>
      <c r="B672" s="17" t="s">
        <v>352</v>
      </c>
      <c r="C672" s="17" t="s">
        <v>743</v>
      </c>
      <c r="D672" s="23">
        <v>29569.0</v>
      </c>
      <c r="E672" s="18" t="s">
        <v>74</v>
      </c>
      <c r="F672" s="30" t="s">
        <v>55</v>
      </c>
      <c r="G672" s="19"/>
      <c r="H672" s="19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20">
        <v>46181.0</v>
      </c>
      <c r="B673" s="17" t="s">
        <v>352</v>
      </c>
      <c r="C673" s="17" t="s">
        <v>744</v>
      </c>
      <c r="D673" s="20">
        <v>27463.0</v>
      </c>
      <c r="E673" s="18" t="s">
        <v>74</v>
      </c>
      <c r="F673" s="30" t="s">
        <v>55</v>
      </c>
      <c r="G673" s="19"/>
      <c r="H673" s="19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20">
        <v>46181.0</v>
      </c>
      <c r="B674" s="17" t="s">
        <v>352</v>
      </c>
      <c r="C674" s="17" t="s">
        <v>745</v>
      </c>
      <c r="D674" s="20">
        <v>34513.0</v>
      </c>
      <c r="E674" s="18" t="s">
        <v>74</v>
      </c>
      <c r="F674" s="30" t="s">
        <v>55</v>
      </c>
      <c r="G674" s="19"/>
      <c r="H674" s="19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20">
        <v>46181.0</v>
      </c>
      <c r="B675" s="17" t="s">
        <v>352</v>
      </c>
      <c r="C675" s="17" t="s">
        <v>746</v>
      </c>
      <c r="D675" s="23">
        <v>31770.0</v>
      </c>
      <c r="E675" s="18" t="s">
        <v>74</v>
      </c>
      <c r="F675" s="30" t="s">
        <v>55</v>
      </c>
      <c r="G675" s="19"/>
      <c r="H675" s="19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20">
        <v>46181.0</v>
      </c>
      <c r="B676" s="17" t="s">
        <v>352</v>
      </c>
      <c r="C676" s="17" t="s">
        <v>747</v>
      </c>
      <c r="D676" s="20">
        <v>28509.0</v>
      </c>
      <c r="E676" s="18" t="s">
        <v>74</v>
      </c>
      <c r="F676" s="30" t="s">
        <v>55</v>
      </c>
      <c r="G676" s="19"/>
      <c r="H676" s="19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20">
        <v>46182.0</v>
      </c>
      <c r="B677" s="17" t="s">
        <v>352</v>
      </c>
      <c r="C677" s="17" t="s">
        <v>748</v>
      </c>
      <c r="D677" s="23">
        <v>37601.0</v>
      </c>
      <c r="E677" s="18" t="s">
        <v>749</v>
      </c>
      <c r="F677" s="30" t="s">
        <v>55</v>
      </c>
      <c r="G677" s="19"/>
      <c r="H677" s="19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20">
        <v>46182.0</v>
      </c>
      <c r="B678" s="17" t="s">
        <v>352</v>
      </c>
      <c r="C678" s="17" t="s">
        <v>750</v>
      </c>
      <c r="D678" s="23">
        <v>22246.0</v>
      </c>
      <c r="E678" s="18" t="s">
        <v>749</v>
      </c>
      <c r="F678" s="30" t="s">
        <v>55</v>
      </c>
      <c r="G678" s="19"/>
      <c r="H678" s="19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20">
        <v>46182.0</v>
      </c>
      <c r="B679" s="17" t="s">
        <v>352</v>
      </c>
      <c r="C679" s="17" t="s">
        <v>751</v>
      </c>
      <c r="D679" s="20">
        <v>35251.0</v>
      </c>
      <c r="E679" s="18" t="s">
        <v>749</v>
      </c>
      <c r="F679" s="30" t="s">
        <v>55</v>
      </c>
      <c r="G679" s="19"/>
      <c r="H679" s="19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20">
        <v>46182.0</v>
      </c>
      <c r="B680" s="17" t="s">
        <v>352</v>
      </c>
      <c r="C680" s="17" t="s">
        <v>752</v>
      </c>
      <c r="D680" s="20">
        <v>26807.0</v>
      </c>
      <c r="E680" s="18" t="s">
        <v>74</v>
      </c>
      <c r="F680" s="30" t="s">
        <v>55</v>
      </c>
      <c r="G680" s="19"/>
      <c r="H680" s="19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20">
        <v>46182.0</v>
      </c>
      <c r="B681" s="17" t="s">
        <v>352</v>
      </c>
      <c r="C681" s="17" t="s">
        <v>753</v>
      </c>
      <c r="D681" s="23">
        <v>26586.0</v>
      </c>
      <c r="E681" s="18" t="s">
        <v>74</v>
      </c>
      <c r="F681" s="30" t="s">
        <v>55</v>
      </c>
      <c r="G681" s="19"/>
      <c r="H681" s="19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20">
        <v>46182.0</v>
      </c>
      <c r="B682" s="17" t="s">
        <v>352</v>
      </c>
      <c r="C682" s="17" t="s">
        <v>754</v>
      </c>
      <c r="D682" s="20">
        <v>34814.0</v>
      </c>
      <c r="E682" s="18" t="s">
        <v>74</v>
      </c>
      <c r="F682" s="30" t="s">
        <v>55</v>
      </c>
      <c r="G682" s="19"/>
      <c r="H682" s="19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20">
        <v>46182.0</v>
      </c>
      <c r="B683" s="17" t="s">
        <v>352</v>
      </c>
      <c r="C683" s="17" t="s">
        <v>755</v>
      </c>
      <c r="D683" s="23">
        <v>36882.0</v>
      </c>
      <c r="E683" s="18" t="s">
        <v>74</v>
      </c>
      <c r="F683" s="30" t="s">
        <v>55</v>
      </c>
      <c r="G683" s="19"/>
      <c r="H683" s="19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20">
        <v>46182.0</v>
      </c>
      <c r="B684" s="17" t="s">
        <v>352</v>
      </c>
      <c r="C684" s="17" t="s">
        <v>756</v>
      </c>
      <c r="D684" s="23">
        <v>36871.0</v>
      </c>
      <c r="E684" s="18" t="s">
        <v>74</v>
      </c>
      <c r="F684" s="30" t="s">
        <v>55</v>
      </c>
      <c r="G684" s="19"/>
      <c r="H684" s="19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20">
        <v>46182.0</v>
      </c>
      <c r="B685" s="17" t="s">
        <v>352</v>
      </c>
      <c r="C685" s="17" t="s">
        <v>757</v>
      </c>
      <c r="D685" s="20">
        <v>32953.0</v>
      </c>
      <c r="E685" s="18" t="s">
        <v>74</v>
      </c>
      <c r="F685" s="30" t="s">
        <v>55</v>
      </c>
      <c r="G685" s="19"/>
      <c r="H685" s="19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20">
        <v>46182.0</v>
      </c>
      <c r="B686" s="17" t="s">
        <v>352</v>
      </c>
      <c r="C686" s="17" t="s">
        <v>758</v>
      </c>
      <c r="D686" s="20">
        <v>34311.0</v>
      </c>
      <c r="E686" s="18" t="s">
        <v>74</v>
      </c>
      <c r="F686" s="30" t="s">
        <v>55</v>
      </c>
      <c r="G686" s="19"/>
      <c r="H686" s="19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20">
        <v>46182.0</v>
      </c>
      <c r="B687" s="17" t="s">
        <v>352</v>
      </c>
      <c r="C687" s="17" t="s">
        <v>759</v>
      </c>
      <c r="D687" s="20">
        <v>37296.0</v>
      </c>
      <c r="E687" s="18" t="s">
        <v>74</v>
      </c>
      <c r="F687" s="30" t="s">
        <v>55</v>
      </c>
      <c r="G687" s="19"/>
      <c r="H687" s="19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20">
        <v>46182.0</v>
      </c>
      <c r="B688" s="17" t="s">
        <v>352</v>
      </c>
      <c r="C688" s="17" t="s">
        <v>760</v>
      </c>
      <c r="D688" s="20">
        <v>33115.0</v>
      </c>
      <c r="E688" s="18" t="s">
        <v>74</v>
      </c>
      <c r="F688" s="30" t="s">
        <v>55</v>
      </c>
      <c r="G688" s="19"/>
      <c r="H688" s="19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20">
        <v>46182.0</v>
      </c>
      <c r="B689" s="17" t="s">
        <v>352</v>
      </c>
      <c r="C689" s="17" t="s">
        <v>761</v>
      </c>
      <c r="D689" s="20">
        <v>34449.0</v>
      </c>
      <c r="E689" s="18" t="s">
        <v>74</v>
      </c>
      <c r="F689" s="30" t="s">
        <v>55</v>
      </c>
      <c r="G689" s="19"/>
      <c r="H689" s="19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20">
        <v>46182.0</v>
      </c>
      <c r="B690" s="17" t="s">
        <v>352</v>
      </c>
      <c r="C690" s="17" t="s">
        <v>762</v>
      </c>
      <c r="D690" s="20">
        <v>32652.0</v>
      </c>
      <c r="E690" s="18" t="s">
        <v>74</v>
      </c>
      <c r="F690" s="30" t="s">
        <v>55</v>
      </c>
      <c r="G690" s="19"/>
      <c r="H690" s="19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20">
        <v>46182.0</v>
      </c>
      <c r="B691" s="17" t="s">
        <v>352</v>
      </c>
      <c r="C691" s="17" t="s">
        <v>763</v>
      </c>
      <c r="D691" s="20">
        <v>34803.0</v>
      </c>
      <c r="E691" s="18" t="s">
        <v>74</v>
      </c>
      <c r="F691" s="30" t="s">
        <v>55</v>
      </c>
      <c r="G691" s="19"/>
      <c r="H691" s="19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20">
        <v>46182.0</v>
      </c>
      <c r="B692" s="17" t="s">
        <v>352</v>
      </c>
      <c r="C692" s="17" t="s">
        <v>764</v>
      </c>
      <c r="D692" s="20">
        <v>27637.0</v>
      </c>
      <c r="E692" s="18" t="s">
        <v>74</v>
      </c>
      <c r="F692" s="30" t="s">
        <v>55</v>
      </c>
      <c r="G692" s="19"/>
      <c r="H692" s="19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20">
        <v>46182.0</v>
      </c>
      <c r="B693" s="17" t="s">
        <v>352</v>
      </c>
      <c r="C693" s="17" t="s">
        <v>765</v>
      </c>
      <c r="D693" s="20">
        <v>37381.0</v>
      </c>
      <c r="E693" s="18" t="s">
        <v>74</v>
      </c>
      <c r="F693" s="30" t="s">
        <v>55</v>
      </c>
      <c r="G693" s="19"/>
      <c r="H693" s="19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20">
        <v>46182.0</v>
      </c>
      <c r="B694" s="17" t="s">
        <v>352</v>
      </c>
      <c r="C694" s="17" t="s">
        <v>766</v>
      </c>
      <c r="D694" s="23">
        <v>35749.0</v>
      </c>
      <c r="E694" s="18" t="s">
        <v>74</v>
      </c>
      <c r="F694" s="30" t="s">
        <v>55</v>
      </c>
      <c r="G694" s="19"/>
      <c r="H694" s="19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20">
        <v>46182.0</v>
      </c>
      <c r="B695" s="17" t="s">
        <v>352</v>
      </c>
      <c r="C695" s="17" t="s">
        <v>767</v>
      </c>
      <c r="D695" s="20">
        <v>32146.0</v>
      </c>
      <c r="E695" s="18" t="s">
        <v>74</v>
      </c>
      <c r="F695" s="30" t="s">
        <v>55</v>
      </c>
      <c r="G695" s="19"/>
      <c r="H695" s="19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20">
        <v>46182.0</v>
      </c>
      <c r="B696" s="17" t="s">
        <v>52</v>
      </c>
      <c r="C696" s="17" t="s">
        <v>768</v>
      </c>
      <c r="D696" s="20">
        <v>34499.0</v>
      </c>
      <c r="E696" s="18" t="s">
        <v>769</v>
      </c>
      <c r="F696" s="30" t="s">
        <v>55</v>
      </c>
      <c r="G696" s="18" t="s">
        <v>770</v>
      </c>
      <c r="H696" s="18" t="s">
        <v>771</v>
      </c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20">
        <v>46182.0</v>
      </c>
      <c r="B697" s="17" t="s">
        <v>52</v>
      </c>
      <c r="C697" s="17" t="s">
        <v>772</v>
      </c>
      <c r="D697" s="20">
        <v>32556.0</v>
      </c>
      <c r="E697" s="18" t="s">
        <v>769</v>
      </c>
      <c r="F697" s="30" t="s">
        <v>55</v>
      </c>
      <c r="G697" s="18" t="s">
        <v>773</v>
      </c>
      <c r="H697" s="18" t="s">
        <v>774</v>
      </c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20">
        <v>46182.0</v>
      </c>
      <c r="B698" s="17" t="s">
        <v>52</v>
      </c>
      <c r="C698" s="17" t="s">
        <v>775</v>
      </c>
      <c r="D698" s="20">
        <v>25274.0</v>
      </c>
      <c r="E698" s="18" t="s">
        <v>769</v>
      </c>
      <c r="F698" s="30" t="s">
        <v>55</v>
      </c>
      <c r="G698" s="18" t="s">
        <v>776</v>
      </c>
      <c r="H698" s="18" t="s">
        <v>777</v>
      </c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20">
        <v>46182.0</v>
      </c>
      <c r="B699" s="17" t="s">
        <v>52</v>
      </c>
      <c r="C699" s="17" t="s">
        <v>778</v>
      </c>
      <c r="D699" s="20">
        <v>27216.0</v>
      </c>
      <c r="E699" s="18" t="s">
        <v>81</v>
      </c>
      <c r="F699" s="30" t="s">
        <v>55</v>
      </c>
      <c r="G699" s="19"/>
      <c r="H699" s="19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20">
        <v>46182.0</v>
      </c>
      <c r="B700" s="17" t="s">
        <v>52</v>
      </c>
      <c r="C700" s="17" t="s">
        <v>779</v>
      </c>
      <c r="D700" s="20">
        <v>32011.0</v>
      </c>
      <c r="E700" s="18" t="s">
        <v>81</v>
      </c>
      <c r="F700" s="30" t="s">
        <v>55</v>
      </c>
      <c r="G700" s="19"/>
      <c r="H700" s="19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20">
        <v>46182.0</v>
      </c>
      <c r="B701" s="17" t="s">
        <v>52</v>
      </c>
      <c r="C701" s="17" t="s">
        <v>780</v>
      </c>
      <c r="D701" s="20">
        <v>31646.0</v>
      </c>
      <c r="E701" s="18" t="s">
        <v>81</v>
      </c>
      <c r="F701" s="30" t="s">
        <v>55</v>
      </c>
      <c r="G701" s="19"/>
      <c r="H701" s="19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20">
        <v>46182.0</v>
      </c>
      <c r="B702" s="17" t="s">
        <v>52</v>
      </c>
      <c r="C702" s="17" t="s">
        <v>781</v>
      </c>
      <c r="D702" s="20">
        <v>31091.0</v>
      </c>
      <c r="E702" s="18" t="s">
        <v>81</v>
      </c>
      <c r="F702" s="30" t="s">
        <v>55</v>
      </c>
      <c r="G702" s="19"/>
      <c r="H702" s="19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20">
        <v>46182.0</v>
      </c>
      <c r="B703" s="17" t="s">
        <v>52</v>
      </c>
      <c r="C703" s="17" t="s">
        <v>782</v>
      </c>
      <c r="D703" s="23">
        <v>33207.0</v>
      </c>
      <c r="E703" s="18" t="s">
        <v>81</v>
      </c>
      <c r="F703" s="30" t="s">
        <v>55</v>
      </c>
      <c r="G703" s="19"/>
      <c r="H703" s="19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20">
        <v>46182.0</v>
      </c>
      <c r="B704" s="17" t="s">
        <v>52</v>
      </c>
      <c r="C704" s="17" t="s">
        <v>783</v>
      </c>
      <c r="D704" s="20">
        <v>33844.0</v>
      </c>
      <c r="E704" s="18" t="s">
        <v>81</v>
      </c>
      <c r="F704" s="30" t="s">
        <v>55</v>
      </c>
      <c r="G704" s="19"/>
      <c r="H704" s="19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20">
        <v>46182.0</v>
      </c>
      <c r="B705" s="17" t="s">
        <v>52</v>
      </c>
      <c r="C705" s="17" t="s">
        <v>784</v>
      </c>
      <c r="D705" s="20">
        <v>31681.0</v>
      </c>
      <c r="E705" s="18" t="s">
        <v>81</v>
      </c>
      <c r="F705" s="30" t="s">
        <v>55</v>
      </c>
      <c r="G705" s="19"/>
      <c r="H705" s="19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20">
        <v>46182.0</v>
      </c>
      <c r="B706" s="17" t="s">
        <v>52</v>
      </c>
      <c r="C706" s="17" t="s">
        <v>785</v>
      </c>
      <c r="D706" s="20">
        <v>28339.0</v>
      </c>
      <c r="E706" s="18" t="s">
        <v>81</v>
      </c>
      <c r="F706" s="30" t="s">
        <v>55</v>
      </c>
      <c r="G706" s="19"/>
      <c r="H706" s="19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20">
        <v>46182.0</v>
      </c>
      <c r="B707" s="17" t="s">
        <v>52</v>
      </c>
      <c r="C707" s="17" t="s">
        <v>786</v>
      </c>
      <c r="D707" s="23">
        <v>30608.0</v>
      </c>
      <c r="E707" s="18" t="s">
        <v>81</v>
      </c>
      <c r="F707" s="30" t="s">
        <v>55</v>
      </c>
      <c r="G707" s="19"/>
      <c r="H707" s="19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20">
        <v>46182.0</v>
      </c>
      <c r="B708" s="17" t="s">
        <v>52</v>
      </c>
      <c r="C708" s="17" t="s">
        <v>787</v>
      </c>
      <c r="D708" s="20">
        <v>23141.0</v>
      </c>
      <c r="E708" s="18" t="s">
        <v>81</v>
      </c>
      <c r="F708" s="30" t="s">
        <v>55</v>
      </c>
      <c r="G708" s="19"/>
      <c r="H708" s="19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20">
        <v>46182.0</v>
      </c>
      <c r="B709" s="17" t="s">
        <v>52</v>
      </c>
      <c r="C709" s="17" t="s">
        <v>788</v>
      </c>
      <c r="D709" s="20">
        <v>23089.0</v>
      </c>
      <c r="E709" s="18" t="s">
        <v>81</v>
      </c>
      <c r="F709" s="30" t="s">
        <v>55</v>
      </c>
      <c r="G709" s="19"/>
      <c r="H709" s="19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20">
        <v>46182.0</v>
      </c>
      <c r="B710" s="17" t="s">
        <v>52</v>
      </c>
      <c r="C710" s="17" t="s">
        <v>789</v>
      </c>
      <c r="D710" s="20">
        <v>30073.0</v>
      </c>
      <c r="E710" s="18" t="s">
        <v>81</v>
      </c>
      <c r="F710" s="30" t="s">
        <v>55</v>
      </c>
      <c r="G710" s="19"/>
      <c r="H710" s="19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20">
        <v>46182.0</v>
      </c>
      <c r="B711" s="17" t="s">
        <v>52</v>
      </c>
      <c r="C711" s="17" t="s">
        <v>790</v>
      </c>
      <c r="D711" s="17" t="s">
        <v>791</v>
      </c>
      <c r="E711" s="18" t="s">
        <v>81</v>
      </c>
      <c r="F711" s="30" t="s">
        <v>55</v>
      </c>
      <c r="G711" s="19"/>
      <c r="H711" s="19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20">
        <v>46182.0</v>
      </c>
      <c r="B712" s="17" t="s">
        <v>52</v>
      </c>
      <c r="C712" s="17" t="s">
        <v>792</v>
      </c>
      <c r="D712" s="23">
        <v>29513.0</v>
      </c>
      <c r="E712" s="18" t="s">
        <v>81</v>
      </c>
      <c r="F712" s="30" t="s">
        <v>55</v>
      </c>
      <c r="G712" s="19"/>
      <c r="H712" s="19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20">
        <v>46182.0</v>
      </c>
      <c r="B713" s="17" t="s">
        <v>52</v>
      </c>
      <c r="C713" s="17" t="s">
        <v>793</v>
      </c>
      <c r="D713" s="20">
        <v>39150.0</v>
      </c>
      <c r="E713" s="18" t="s">
        <v>81</v>
      </c>
      <c r="F713" s="30" t="s">
        <v>55</v>
      </c>
      <c r="G713" s="19"/>
      <c r="H713" s="19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20">
        <v>46182.0</v>
      </c>
      <c r="B714" s="17" t="s">
        <v>52</v>
      </c>
      <c r="C714" s="17" t="s">
        <v>794</v>
      </c>
      <c r="D714" s="20">
        <v>24624.0</v>
      </c>
      <c r="E714" s="18" t="s">
        <v>81</v>
      </c>
      <c r="F714" s="30" t="s">
        <v>55</v>
      </c>
      <c r="G714" s="19"/>
      <c r="H714" s="19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20">
        <v>46182.0</v>
      </c>
      <c r="B715" s="17" t="s">
        <v>52</v>
      </c>
      <c r="C715" s="17" t="s">
        <v>795</v>
      </c>
      <c r="D715" s="23">
        <v>32806.0</v>
      </c>
      <c r="E715" s="18" t="s">
        <v>81</v>
      </c>
      <c r="F715" s="30" t="s">
        <v>55</v>
      </c>
      <c r="G715" s="19"/>
      <c r="H715" s="19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20">
        <v>46182.0</v>
      </c>
      <c r="B716" s="17" t="s">
        <v>52</v>
      </c>
      <c r="C716" s="17" t="s">
        <v>796</v>
      </c>
      <c r="D716" s="17" t="s">
        <v>797</v>
      </c>
      <c r="E716" s="18" t="s">
        <v>81</v>
      </c>
      <c r="F716" s="30" t="s">
        <v>55</v>
      </c>
      <c r="G716" s="19"/>
      <c r="H716" s="19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20">
        <v>46182.0</v>
      </c>
      <c r="B717" s="17" t="s">
        <v>52</v>
      </c>
      <c r="C717" s="17" t="s">
        <v>798</v>
      </c>
      <c r="D717" s="20">
        <v>33391.0</v>
      </c>
      <c r="E717" s="18" t="s">
        <v>54</v>
      </c>
      <c r="F717" s="30" t="s">
        <v>55</v>
      </c>
      <c r="G717" s="19"/>
      <c r="H717" s="19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20">
        <v>46182.0</v>
      </c>
      <c r="B718" s="17" t="s">
        <v>52</v>
      </c>
      <c r="C718" s="17" t="s">
        <v>799</v>
      </c>
      <c r="D718" s="20">
        <v>31982.0</v>
      </c>
      <c r="E718" s="18" t="s">
        <v>54</v>
      </c>
      <c r="F718" s="30" t="s">
        <v>55</v>
      </c>
      <c r="G718" s="19"/>
      <c r="H718" s="19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20">
        <v>46182.0</v>
      </c>
      <c r="B719" s="17" t="s">
        <v>52</v>
      </c>
      <c r="C719" s="17" t="s">
        <v>800</v>
      </c>
      <c r="D719" s="20">
        <v>27797.0</v>
      </c>
      <c r="E719" s="18" t="s">
        <v>54</v>
      </c>
      <c r="F719" s="30" t="s">
        <v>55</v>
      </c>
      <c r="G719" s="19"/>
      <c r="H719" s="19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20">
        <v>46182.0</v>
      </c>
      <c r="B720" s="17" t="s">
        <v>52</v>
      </c>
      <c r="C720" s="17" t="s">
        <v>801</v>
      </c>
      <c r="D720" s="20">
        <v>31624.0</v>
      </c>
      <c r="E720" s="18" t="s">
        <v>54</v>
      </c>
      <c r="F720" s="30" t="s">
        <v>55</v>
      </c>
      <c r="G720" s="19"/>
      <c r="H720" s="19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20">
        <v>46182.0</v>
      </c>
      <c r="B721" s="17" t="s">
        <v>52</v>
      </c>
      <c r="C721" s="17" t="s">
        <v>802</v>
      </c>
      <c r="D721" s="20">
        <v>32585.0</v>
      </c>
      <c r="E721" s="18" t="s">
        <v>54</v>
      </c>
      <c r="F721" s="30" t="s">
        <v>55</v>
      </c>
      <c r="G721" s="19"/>
      <c r="H721" s="19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20">
        <v>46182.0</v>
      </c>
      <c r="B722" s="17" t="s">
        <v>52</v>
      </c>
      <c r="C722" s="17" t="s">
        <v>803</v>
      </c>
      <c r="D722" s="20">
        <v>29190.0</v>
      </c>
      <c r="E722" s="18" t="s">
        <v>54</v>
      </c>
      <c r="F722" s="30" t="s">
        <v>55</v>
      </c>
      <c r="G722" s="19"/>
      <c r="H722" s="19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20">
        <v>46183.0</v>
      </c>
      <c r="B723" s="17" t="s">
        <v>52</v>
      </c>
      <c r="C723" s="17" t="s">
        <v>804</v>
      </c>
      <c r="D723" s="23">
        <v>25124.0</v>
      </c>
      <c r="E723" s="18" t="s">
        <v>54</v>
      </c>
      <c r="F723" s="30" t="s">
        <v>55</v>
      </c>
      <c r="G723" s="18" t="s">
        <v>805</v>
      </c>
      <c r="H723" s="18" t="s">
        <v>806</v>
      </c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20">
        <v>46183.0</v>
      </c>
      <c r="B724" s="17" t="s">
        <v>52</v>
      </c>
      <c r="C724" s="17" t="s">
        <v>807</v>
      </c>
      <c r="D724" s="20">
        <v>24247.0</v>
      </c>
      <c r="E724" s="18" t="s">
        <v>54</v>
      </c>
      <c r="F724" s="30" t="s">
        <v>55</v>
      </c>
      <c r="G724" s="18" t="s">
        <v>808</v>
      </c>
      <c r="H724" s="18" t="s">
        <v>806</v>
      </c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20">
        <v>46183.0</v>
      </c>
      <c r="B725" s="17" t="s">
        <v>52</v>
      </c>
      <c r="C725" s="17" t="s">
        <v>809</v>
      </c>
      <c r="D725" s="20">
        <v>23140.0</v>
      </c>
      <c r="E725" s="18" t="s">
        <v>54</v>
      </c>
      <c r="F725" s="30" t="s">
        <v>55</v>
      </c>
      <c r="G725" s="18">
        <v>7.864639743E9</v>
      </c>
      <c r="H725" s="18" t="s">
        <v>810</v>
      </c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20">
        <v>46183.0</v>
      </c>
      <c r="B726" s="17" t="s">
        <v>52</v>
      </c>
      <c r="C726" s="17" t="s">
        <v>811</v>
      </c>
      <c r="D726" s="20">
        <v>34410.0</v>
      </c>
      <c r="E726" s="18" t="s">
        <v>54</v>
      </c>
      <c r="F726" s="30" t="s">
        <v>55</v>
      </c>
      <c r="G726" s="18" t="s">
        <v>812</v>
      </c>
      <c r="H726" s="18" t="s">
        <v>813</v>
      </c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20">
        <v>46183.0</v>
      </c>
      <c r="B727" s="17" t="s">
        <v>52</v>
      </c>
      <c r="C727" s="17" t="s">
        <v>814</v>
      </c>
      <c r="D727" s="20">
        <v>25442.0</v>
      </c>
      <c r="E727" s="18" t="s">
        <v>54</v>
      </c>
      <c r="F727" s="30" t="s">
        <v>55</v>
      </c>
      <c r="G727" s="18" t="s">
        <v>815</v>
      </c>
      <c r="H727" s="18" t="s">
        <v>816</v>
      </c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20">
        <v>46183.0</v>
      </c>
      <c r="B728" s="17" t="s">
        <v>52</v>
      </c>
      <c r="C728" s="17" t="s">
        <v>817</v>
      </c>
      <c r="D728" s="20">
        <v>34015.0</v>
      </c>
      <c r="E728" s="18" t="s">
        <v>54</v>
      </c>
      <c r="F728" s="30" t="s">
        <v>55</v>
      </c>
      <c r="G728" s="18">
        <v>5.612016874E9</v>
      </c>
      <c r="H728" s="18" t="s">
        <v>813</v>
      </c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20">
        <v>46183.0</v>
      </c>
      <c r="B729" s="17" t="s">
        <v>52</v>
      </c>
      <c r="C729" s="17" t="s">
        <v>818</v>
      </c>
      <c r="D729" s="20">
        <v>32333.0</v>
      </c>
      <c r="E729" s="18" t="s">
        <v>54</v>
      </c>
      <c r="F729" s="30" t="s">
        <v>55</v>
      </c>
      <c r="G729" s="18" t="s">
        <v>819</v>
      </c>
      <c r="H729" s="18" t="s">
        <v>813</v>
      </c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20">
        <v>46183.0</v>
      </c>
      <c r="B730" s="17" t="s">
        <v>52</v>
      </c>
      <c r="C730" s="17" t="s">
        <v>820</v>
      </c>
      <c r="D730" s="23">
        <v>36525.0</v>
      </c>
      <c r="E730" s="18" t="s">
        <v>54</v>
      </c>
      <c r="F730" s="30" t="s">
        <v>55</v>
      </c>
      <c r="G730" s="18" t="s">
        <v>821</v>
      </c>
      <c r="H730" s="18" t="s">
        <v>822</v>
      </c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20">
        <v>46183.0</v>
      </c>
      <c r="B731" s="17" t="s">
        <v>52</v>
      </c>
      <c r="C731" s="17" t="s">
        <v>823</v>
      </c>
      <c r="D731" s="20">
        <v>30206.0</v>
      </c>
      <c r="E731" s="18" t="s">
        <v>54</v>
      </c>
      <c r="F731" s="30" t="s">
        <v>55</v>
      </c>
      <c r="G731" s="18" t="s">
        <v>824</v>
      </c>
      <c r="H731" s="18" t="s">
        <v>825</v>
      </c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20">
        <v>46183.0</v>
      </c>
      <c r="B732" s="17" t="s">
        <v>52</v>
      </c>
      <c r="C732" s="17" t="s">
        <v>826</v>
      </c>
      <c r="D732" s="23">
        <v>30618.0</v>
      </c>
      <c r="E732" s="18" t="s">
        <v>54</v>
      </c>
      <c r="F732" s="30" t="s">
        <v>55</v>
      </c>
      <c r="G732" s="18" t="s">
        <v>827</v>
      </c>
      <c r="H732" s="18" t="s">
        <v>825</v>
      </c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20">
        <v>46183.0</v>
      </c>
      <c r="B733" s="17" t="s">
        <v>52</v>
      </c>
      <c r="C733" s="17" t="s">
        <v>828</v>
      </c>
      <c r="D733" s="20">
        <v>23192.0</v>
      </c>
      <c r="E733" s="18" t="s">
        <v>54</v>
      </c>
      <c r="F733" s="30" t="s">
        <v>55</v>
      </c>
      <c r="G733" s="18" t="s">
        <v>829</v>
      </c>
      <c r="H733" s="18" t="s">
        <v>830</v>
      </c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20">
        <v>46183.0</v>
      </c>
      <c r="B734" s="17" t="s">
        <v>52</v>
      </c>
      <c r="C734" s="17" t="s">
        <v>831</v>
      </c>
      <c r="D734" s="20">
        <v>36621.0</v>
      </c>
      <c r="E734" s="18" t="s">
        <v>54</v>
      </c>
      <c r="F734" s="30" t="s">
        <v>55</v>
      </c>
      <c r="G734" s="18" t="s">
        <v>832</v>
      </c>
      <c r="H734" s="18" t="s">
        <v>833</v>
      </c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20">
        <v>46183.0</v>
      </c>
      <c r="B735" s="17" t="s">
        <v>52</v>
      </c>
      <c r="C735" s="17" t="s">
        <v>834</v>
      </c>
      <c r="D735" s="20">
        <v>38846.0</v>
      </c>
      <c r="E735" s="18" t="s">
        <v>54</v>
      </c>
      <c r="F735" s="30" t="s">
        <v>55</v>
      </c>
      <c r="G735" s="18" t="s">
        <v>835</v>
      </c>
      <c r="H735" s="18" t="s">
        <v>836</v>
      </c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20">
        <v>46183.0</v>
      </c>
      <c r="B736" s="17" t="s">
        <v>52</v>
      </c>
      <c r="C736" s="17" t="s">
        <v>837</v>
      </c>
      <c r="D736" s="20">
        <v>32403.0</v>
      </c>
      <c r="E736" s="18" t="s">
        <v>54</v>
      </c>
      <c r="F736" s="30" t="s">
        <v>55</v>
      </c>
      <c r="G736" s="18" t="s">
        <v>838</v>
      </c>
      <c r="H736" s="18" t="s">
        <v>839</v>
      </c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20">
        <v>46183.0</v>
      </c>
      <c r="B737" s="17" t="s">
        <v>52</v>
      </c>
      <c r="C737" s="17" t="s">
        <v>840</v>
      </c>
      <c r="D737" s="20">
        <v>38843.0</v>
      </c>
      <c r="E737" s="18" t="s">
        <v>54</v>
      </c>
      <c r="F737" s="30" t="s">
        <v>55</v>
      </c>
      <c r="G737" s="18">
        <v>7.866417663E9</v>
      </c>
      <c r="H737" s="18" t="s">
        <v>841</v>
      </c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20">
        <v>46183.0</v>
      </c>
      <c r="B738" s="17" t="s">
        <v>52</v>
      </c>
      <c r="C738" s="17" t="s">
        <v>842</v>
      </c>
      <c r="D738" s="20">
        <v>36370.0</v>
      </c>
      <c r="E738" s="18" t="s">
        <v>54</v>
      </c>
      <c r="F738" s="30" t="s">
        <v>55</v>
      </c>
      <c r="G738" s="18" t="s">
        <v>843</v>
      </c>
      <c r="H738" s="18" t="s">
        <v>844</v>
      </c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20">
        <v>46183.0</v>
      </c>
      <c r="B739" s="17" t="s">
        <v>52</v>
      </c>
      <c r="C739" s="17" t="s">
        <v>845</v>
      </c>
      <c r="D739" s="20">
        <v>29899.0</v>
      </c>
      <c r="E739" s="18" t="s">
        <v>54</v>
      </c>
      <c r="F739" s="30" t="s">
        <v>55</v>
      </c>
      <c r="G739" s="18" t="s">
        <v>846</v>
      </c>
      <c r="H739" s="18" t="s">
        <v>847</v>
      </c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20">
        <v>46183.0</v>
      </c>
      <c r="B740" s="17" t="s">
        <v>52</v>
      </c>
      <c r="C740" s="17" t="s">
        <v>848</v>
      </c>
      <c r="D740" s="23">
        <v>31770.0</v>
      </c>
      <c r="E740" s="18" t="s">
        <v>54</v>
      </c>
      <c r="F740" s="30" t="s">
        <v>55</v>
      </c>
      <c r="G740" s="18">
        <v>5.612775701E9</v>
      </c>
      <c r="H740" s="18" t="s">
        <v>813</v>
      </c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20">
        <v>46183.0</v>
      </c>
      <c r="B741" s="17" t="s">
        <v>52</v>
      </c>
      <c r="C741" s="17" t="s">
        <v>849</v>
      </c>
      <c r="D741" s="20">
        <v>36797.0</v>
      </c>
      <c r="E741" s="18" t="s">
        <v>54</v>
      </c>
      <c r="F741" s="30" t="s">
        <v>55</v>
      </c>
      <c r="G741" s="18">
        <v>9.542324047E9</v>
      </c>
      <c r="H741" s="18" t="s">
        <v>850</v>
      </c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20">
        <v>46183.0</v>
      </c>
      <c r="B742" s="17" t="s">
        <v>52</v>
      </c>
      <c r="C742" s="17" t="s">
        <v>851</v>
      </c>
      <c r="D742" s="20">
        <v>28102.0</v>
      </c>
      <c r="E742" s="18" t="s">
        <v>54</v>
      </c>
      <c r="F742" s="30" t="s">
        <v>55</v>
      </c>
      <c r="G742" s="18">
        <v>3.057216914E9</v>
      </c>
      <c r="H742" s="18" t="s">
        <v>852</v>
      </c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20">
        <v>46183.0</v>
      </c>
      <c r="B743" s="17" t="s">
        <v>52</v>
      </c>
      <c r="C743" s="17" t="s">
        <v>853</v>
      </c>
      <c r="D743" s="20">
        <v>23602.0</v>
      </c>
      <c r="E743" s="18" t="s">
        <v>54</v>
      </c>
      <c r="F743" s="30" t="s">
        <v>55</v>
      </c>
      <c r="G743" s="18" t="s">
        <v>854</v>
      </c>
      <c r="H743" s="18" t="s">
        <v>855</v>
      </c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20">
        <v>46183.0</v>
      </c>
      <c r="B744" s="17" t="s">
        <v>52</v>
      </c>
      <c r="C744" s="17" t="s">
        <v>856</v>
      </c>
      <c r="D744" s="23">
        <v>27739.0</v>
      </c>
      <c r="E744" s="18" t="s">
        <v>54</v>
      </c>
      <c r="F744" s="30" t="s">
        <v>55</v>
      </c>
      <c r="G744" s="18" t="s">
        <v>857</v>
      </c>
      <c r="H744" s="18" t="s">
        <v>858</v>
      </c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20">
        <v>46183.0</v>
      </c>
      <c r="B745" s="17" t="s">
        <v>52</v>
      </c>
      <c r="C745" s="17" t="s">
        <v>859</v>
      </c>
      <c r="D745" s="20">
        <v>24695.0</v>
      </c>
      <c r="E745" s="18" t="s">
        <v>54</v>
      </c>
      <c r="F745" s="30" t="s">
        <v>55</v>
      </c>
      <c r="G745" s="18">
        <v>7.863992506E9</v>
      </c>
      <c r="H745" s="18" t="s">
        <v>860</v>
      </c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20">
        <v>46183.0</v>
      </c>
      <c r="B746" s="17" t="s">
        <v>52</v>
      </c>
      <c r="C746" s="17" t="s">
        <v>861</v>
      </c>
      <c r="D746" s="20">
        <v>30583.0</v>
      </c>
      <c r="E746" s="18" t="s">
        <v>54</v>
      </c>
      <c r="F746" s="30" t="s">
        <v>55</v>
      </c>
      <c r="G746" s="18">
        <v>7.869482707E9</v>
      </c>
      <c r="H746" s="18" t="s">
        <v>862</v>
      </c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20">
        <v>46183.0</v>
      </c>
      <c r="B747" s="17" t="s">
        <v>52</v>
      </c>
      <c r="C747" s="17" t="s">
        <v>863</v>
      </c>
      <c r="D747" s="23">
        <v>22992.0</v>
      </c>
      <c r="E747" s="18" t="s">
        <v>54</v>
      </c>
      <c r="F747" s="30" t="s">
        <v>55</v>
      </c>
      <c r="G747" s="18" t="s">
        <v>864</v>
      </c>
      <c r="H747" s="18" t="s">
        <v>865</v>
      </c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20">
        <v>46183.0</v>
      </c>
      <c r="B748" s="17" t="s">
        <v>52</v>
      </c>
      <c r="C748" s="17" t="s">
        <v>866</v>
      </c>
      <c r="D748" s="20">
        <v>32369.0</v>
      </c>
      <c r="E748" s="18" t="s">
        <v>54</v>
      </c>
      <c r="F748" s="30" t="s">
        <v>55</v>
      </c>
      <c r="G748" s="18" t="s">
        <v>867</v>
      </c>
      <c r="H748" s="18" t="s">
        <v>868</v>
      </c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20">
        <v>46183.0</v>
      </c>
      <c r="B749" s="17" t="s">
        <v>52</v>
      </c>
      <c r="C749" s="17" t="s">
        <v>869</v>
      </c>
      <c r="D749" s="23">
        <v>24099.0</v>
      </c>
      <c r="E749" s="18" t="s">
        <v>54</v>
      </c>
      <c r="F749" s="30" t="s">
        <v>55</v>
      </c>
      <c r="G749" s="18">
        <v>7.867603476E9</v>
      </c>
      <c r="H749" s="18" t="s">
        <v>870</v>
      </c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20">
        <v>46183.0</v>
      </c>
      <c r="B750" s="17" t="s">
        <v>52</v>
      </c>
      <c r="C750" s="17" t="s">
        <v>871</v>
      </c>
      <c r="D750" s="20">
        <v>31531.0</v>
      </c>
      <c r="E750" s="18" t="s">
        <v>54</v>
      </c>
      <c r="F750" s="30" t="s">
        <v>55</v>
      </c>
      <c r="G750" s="18">
        <v>7.862471458E9</v>
      </c>
      <c r="H750" s="18" t="s">
        <v>872</v>
      </c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20">
        <v>46183.0</v>
      </c>
      <c r="B751" s="17" t="s">
        <v>52</v>
      </c>
      <c r="C751" s="17" t="s">
        <v>873</v>
      </c>
      <c r="D751" s="20">
        <v>38227.0</v>
      </c>
      <c r="E751" s="18" t="s">
        <v>769</v>
      </c>
      <c r="F751" s="30" t="s">
        <v>55</v>
      </c>
      <c r="G751" s="18">
        <v>7.868254858E9</v>
      </c>
      <c r="H751" s="18" t="s">
        <v>874</v>
      </c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20">
        <v>46183.0</v>
      </c>
      <c r="B752" s="17" t="s">
        <v>52</v>
      </c>
      <c r="C752" s="17" t="s">
        <v>875</v>
      </c>
      <c r="D752" s="20">
        <v>33382.0</v>
      </c>
      <c r="E752" s="18" t="s">
        <v>769</v>
      </c>
      <c r="F752" s="30" t="s">
        <v>55</v>
      </c>
      <c r="G752" s="18">
        <v>6.452179791E9</v>
      </c>
      <c r="H752" s="18" t="s">
        <v>876</v>
      </c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20">
        <v>46183.0</v>
      </c>
      <c r="B753" s="17" t="s">
        <v>52</v>
      </c>
      <c r="C753" s="17" t="s">
        <v>877</v>
      </c>
      <c r="D753" s="20">
        <v>35307.0</v>
      </c>
      <c r="E753" s="18" t="s">
        <v>769</v>
      </c>
      <c r="F753" s="30" t="s">
        <v>55</v>
      </c>
      <c r="G753" s="18">
        <v>9.519073875E9</v>
      </c>
      <c r="H753" s="18" t="s">
        <v>878</v>
      </c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20">
        <v>46183.0</v>
      </c>
      <c r="B754" s="17" t="s">
        <v>52</v>
      </c>
      <c r="C754" s="17" t="s">
        <v>879</v>
      </c>
      <c r="D754" s="20">
        <v>32319.0</v>
      </c>
      <c r="E754" s="18" t="s">
        <v>769</v>
      </c>
      <c r="F754" s="30" t="s">
        <v>55</v>
      </c>
      <c r="G754" s="18">
        <v>9.519073875E9</v>
      </c>
      <c r="H754" s="18" t="s">
        <v>878</v>
      </c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20">
        <v>46183.0</v>
      </c>
      <c r="B755" s="17" t="s">
        <v>52</v>
      </c>
      <c r="C755" s="17" t="s">
        <v>880</v>
      </c>
      <c r="D755" s="20">
        <v>37780.0</v>
      </c>
      <c r="E755" s="18" t="s">
        <v>769</v>
      </c>
      <c r="F755" s="30" t="s">
        <v>55</v>
      </c>
      <c r="G755" s="18">
        <v>7.869624315E9</v>
      </c>
      <c r="H755" s="18" t="s">
        <v>881</v>
      </c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20">
        <v>46183.0</v>
      </c>
      <c r="B756" s="17" t="s">
        <v>52</v>
      </c>
      <c r="C756" s="17" t="s">
        <v>882</v>
      </c>
      <c r="D756" s="23">
        <v>32795.0</v>
      </c>
      <c r="E756" s="18" t="s">
        <v>769</v>
      </c>
      <c r="F756" s="30" t="s">
        <v>55</v>
      </c>
      <c r="G756" s="18" t="s">
        <v>883</v>
      </c>
      <c r="H756" s="18" t="s">
        <v>884</v>
      </c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20">
        <v>46183.0</v>
      </c>
      <c r="B757" s="17" t="s">
        <v>52</v>
      </c>
      <c r="C757" s="17" t="s">
        <v>885</v>
      </c>
      <c r="D757" s="20">
        <v>29408.0</v>
      </c>
      <c r="E757" s="18" t="s">
        <v>769</v>
      </c>
      <c r="F757" s="30" t="s">
        <v>55</v>
      </c>
      <c r="G757" s="18" t="s">
        <v>886</v>
      </c>
      <c r="H757" s="18" t="s">
        <v>887</v>
      </c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20">
        <v>46183.0</v>
      </c>
      <c r="B758" s="17" t="s">
        <v>52</v>
      </c>
      <c r="C758" s="17" t="s">
        <v>888</v>
      </c>
      <c r="D758" s="20">
        <v>35654.0</v>
      </c>
      <c r="E758" s="18" t="s">
        <v>81</v>
      </c>
      <c r="F758" s="30" t="s">
        <v>55</v>
      </c>
      <c r="G758" s="18" t="s">
        <v>889</v>
      </c>
      <c r="H758" s="18" t="s">
        <v>890</v>
      </c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20">
        <v>46183.0</v>
      </c>
      <c r="B759" s="17" t="s">
        <v>52</v>
      </c>
      <c r="C759" s="17" t="s">
        <v>891</v>
      </c>
      <c r="D759" s="20">
        <v>27247.0</v>
      </c>
      <c r="E759" s="18" t="s">
        <v>81</v>
      </c>
      <c r="F759" s="30" t="s">
        <v>55</v>
      </c>
      <c r="G759" s="18">
        <v>7.863894124E9</v>
      </c>
      <c r="H759" s="18" t="s">
        <v>892</v>
      </c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20">
        <v>46183.0</v>
      </c>
      <c r="B760" s="17" t="s">
        <v>52</v>
      </c>
      <c r="C760" s="17" t="s">
        <v>893</v>
      </c>
      <c r="D760" s="20">
        <v>23536.0</v>
      </c>
      <c r="E760" s="18" t="s">
        <v>81</v>
      </c>
      <c r="F760" s="30" t="s">
        <v>55</v>
      </c>
      <c r="G760" s="18" t="s">
        <v>894</v>
      </c>
      <c r="H760" s="18" t="s">
        <v>895</v>
      </c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20">
        <v>46183.0</v>
      </c>
      <c r="B761" s="17" t="s">
        <v>52</v>
      </c>
      <c r="C761" s="17" t="s">
        <v>896</v>
      </c>
      <c r="D761" s="20">
        <v>24180.0</v>
      </c>
      <c r="E761" s="18" t="s">
        <v>81</v>
      </c>
      <c r="F761" s="30" t="s">
        <v>55</v>
      </c>
      <c r="G761" s="18" t="s">
        <v>897</v>
      </c>
      <c r="H761" s="18" t="s">
        <v>895</v>
      </c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20">
        <v>46183.0</v>
      </c>
      <c r="B762" s="17" t="s">
        <v>52</v>
      </c>
      <c r="C762" s="17" t="s">
        <v>898</v>
      </c>
      <c r="D762" s="23">
        <v>30296.0</v>
      </c>
      <c r="E762" s="18" t="s">
        <v>81</v>
      </c>
      <c r="F762" s="30" t="s">
        <v>55</v>
      </c>
      <c r="G762" s="18" t="s">
        <v>899</v>
      </c>
      <c r="H762" s="18" t="s">
        <v>900</v>
      </c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20">
        <v>46183.0</v>
      </c>
      <c r="B763" s="17" t="s">
        <v>52</v>
      </c>
      <c r="C763" s="17" t="s">
        <v>901</v>
      </c>
      <c r="D763" s="23">
        <v>26279.0</v>
      </c>
      <c r="E763" s="18" t="s">
        <v>81</v>
      </c>
      <c r="F763" s="30" t="s">
        <v>55</v>
      </c>
      <c r="G763" s="18">
        <v>7.863486185E9</v>
      </c>
      <c r="H763" s="18" t="s">
        <v>900</v>
      </c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20">
        <v>46183.0</v>
      </c>
      <c r="B764" s="17" t="s">
        <v>52</v>
      </c>
      <c r="C764" s="17" t="s">
        <v>902</v>
      </c>
      <c r="D764" s="20">
        <v>24080.0</v>
      </c>
      <c r="E764" s="18" t="s">
        <v>81</v>
      </c>
      <c r="F764" s="30" t="s">
        <v>55</v>
      </c>
      <c r="G764" s="18">
        <v>5.122996346E9</v>
      </c>
      <c r="H764" s="18" t="s">
        <v>903</v>
      </c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20">
        <v>46183.0</v>
      </c>
      <c r="B765" s="17" t="s">
        <v>52</v>
      </c>
      <c r="C765" s="17" t="s">
        <v>904</v>
      </c>
      <c r="D765" s="20">
        <v>35161.0</v>
      </c>
      <c r="E765" s="18" t="s">
        <v>81</v>
      </c>
      <c r="F765" s="30" t="s">
        <v>55</v>
      </c>
      <c r="G765" s="18" t="s">
        <v>905</v>
      </c>
      <c r="H765" s="18" t="s">
        <v>903</v>
      </c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20">
        <v>46183.0</v>
      </c>
      <c r="B766" s="17" t="s">
        <v>52</v>
      </c>
      <c r="C766" s="17" t="s">
        <v>906</v>
      </c>
      <c r="D766" s="20">
        <v>36361.0</v>
      </c>
      <c r="E766" s="18" t="s">
        <v>81</v>
      </c>
      <c r="F766" s="30" t="s">
        <v>55</v>
      </c>
      <c r="G766" s="18">
        <v>7.863933582E9</v>
      </c>
      <c r="H766" s="18" t="s">
        <v>907</v>
      </c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20">
        <v>46183.0</v>
      </c>
      <c r="B767" s="17" t="s">
        <v>52</v>
      </c>
      <c r="C767" s="17" t="s">
        <v>908</v>
      </c>
      <c r="D767" s="20">
        <v>25221.0</v>
      </c>
      <c r="E767" s="18" t="s">
        <v>81</v>
      </c>
      <c r="F767" s="30" t="s">
        <v>55</v>
      </c>
      <c r="G767" s="18" t="s">
        <v>909</v>
      </c>
      <c r="H767" s="18" t="s">
        <v>907</v>
      </c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20">
        <v>46183.0</v>
      </c>
      <c r="B768" s="17" t="s">
        <v>52</v>
      </c>
      <c r="C768" s="17" t="s">
        <v>910</v>
      </c>
      <c r="D768" s="23">
        <v>29505.0</v>
      </c>
      <c r="E768" s="18" t="s">
        <v>86</v>
      </c>
      <c r="F768" s="30" t="s">
        <v>55</v>
      </c>
      <c r="G768" s="18">
        <v>5.61690186E9</v>
      </c>
      <c r="H768" s="18" t="s">
        <v>911</v>
      </c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20">
        <v>46183.0</v>
      </c>
      <c r="B769" s="17" t="s">
        <v>52</v>
      </c>
      <c r="C769" s="17" t="s">
        <v>912</v>
      </c>
      <c r="D769" s="20">
        <v>28679.0</v>
      </c>
      <c r="E769" s="18" t="s">
        <v>74</v>
      </c>
      <c r="F769" s="30" t="s">
        <v>55</v>
      </c>
      <c r="G769" s="18">
        <v>7.866699399E9</v>
      </c>
      <c r="H769" s="18" t="s">
        <v>913</v>
      </c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20">
        <v>46183.0</v>
      </c>
      <c r="B770" s="17" t="s">
        <v>52</v>
      </c>
      <c r="C770" s="17" t="s">
        <v>914</v>
      </c>
      <c r="D770" s="20">
        <v>34188.0</v>
      </c>
      <c r="E770" s="18" t="s">
        <v>74</v>
      </c>
      <c r="F770" s="30" t="s">
        <v>55</v>
      </c>
      <c r="G770" s="18">
        <v>7.867992763E9</v>
      </c>
      <c r="H770" s="18" t="s">
        <v>915</v>
      </c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20">
        <v>46183.0</v>
      </c>
      <c r="B771" s="17" t="s">
        <v>52</v>
      </c>
      <c r="C771" s="17" t="s">
        <v>916</v>
      </c>
      <c r="D771" s="20">
        <v>26000.0</v>
      </c>
      <c r="E771" s="18" t="s">
        <v>74</v>
      </c>
      <c r="F771" s="30" t="s">
        <v>55</v>
      </c>
      <c r="G771" s="18">
        <v>5.613178206E9</v>
      </c>
      <c r="H771" s="18" t="s">
        <v>917</v>
      </c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20">
        <v>46183.0</v>
      </c>
      <c r="B772" s="17" t="s">
        <v>52</v>
      </c>
      <c r="C772" s="17" t="s">
        <v>918</v>
      </c>
      <c r="D772" s="20">
        <v>28671.0</v>
      </c>
      <c r="E772" s="18" t="s">
        <v>74</v>
      </c>
      <c r="F772" s="30" t="s">
        <v>55</v>
      </c>
      <c r="G772" s="18">
        <v>7.5423379231E10</v>
      </c>
      <c r="H772" s="18" t="s">
        <v>919</v>
      </c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20">
        <v>46183.0</v>
      </c>
      <c r="B773" s="17" t="s">
        <v>52</v>
      </c>
      <c r="C773" s="17" t="s">
        <v>920</v>
      </c>
      <c r="D773" s="23">
        <v>35030.0</v>
      </c>
      <c r="E773" s="18" t="s">
        <v>74</v>
      </c>
      <c r="F773" s="30" t="s">
        <v>55</v>
      </c>
      <c r="G773" s="18">
        <v>7.867100162E9</v>
      </c>
      <c r="H773" s="18" t="s">
        <v>921</v>
      </c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20">
        <v>46183.0</v>
      </c>
      <c r="B774" s="17" t="s">
        <v>52</v>
      </c>
      <c r="C774" s="17" t="s">
        <v>922</v>
      </c>
      <c r="D774" s="20">
        <v>28553.0</v>
      </c>
      <c r="E774" s="18" t="s">
        <v>74</v>
      </c>
      <c r="F774" s="30" t="s">
        <v>55</v>
      </c>
      <c r="G774" s="18">
        <v>7.542961201E9</v>
      </c>
      <c r="H774" s="18" t="s">
        <v>923</v>
      </c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20">
        <v>46183.0</v>
      </c>
      <c r="B775" s="17" t="s">
        <v>52</v>
      </c>
      <c r="C775" s="17" t="s">
        <v>924</v>
      </c>
      <c r="D775" s="20">
        <v>27957.0</v>
      </c>
      <c r="E775" s="18" t="s">
        <v>74</v>
      </c>
      <c r="F775" s="30" t="s">
        <v>55</v>
      </c>
      <c r="G775" s="18" t="s">
        <v>925</v>
      </c>
      <c r="H775" s="18" t="s">
        <v>926</v>
      </c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20">
        <v>46183.0</v>
      </c>
      <c r="B776" s="17" t="s">
        <v>352</v>
      </c>
      <c r="C776" s="17" t="s">
        <v>927</v>
      </c>
      <c r="D776" s="20">
        <v>34175.0</v>
      </c>
      <c r="E776" s="18" t="s">
        <v>74</v>
      </c>
      <c r="F776" s="30" t="s">
        <v>55</v>
      </c>
      <c r="G776" s="18">
        <v>7.86857009E9</v>
      </c>
      <c r="H776" s="18" t="s">
        <v>928</v>
      </c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20">
        <v>46183.0</v>
      </c>
      <c r="B777" s="17" t="s">
        <v>352</v>
      </c>
      <c r="C777" s="17" t="s">
        <v>929</v>
      </c>
      <c r="D777" s="23">
        <v>37971.0</v>
      </c>
      <c r="E777" s="18" t="s">
        <v>74</v>
      </c>
      <c r="F777" s="30" t="s">
        <v>55</v>
      </c>
      <c r="G777" s="18" t="s">
        <v>930</v>
      </c>
      <c r="H777" s="18" t="s">
        <v>931</v>
      </c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20">
        <v>46183.0</v>
      </c>
      <c r="B778" s="17" t="s">
        <v>352</v>
      </c>
      <c r="C778" s="17" t="s">
        <v>932</v>
      </c>
      <c r="D778" s="20">
        <v>38232.0</v>
      </c>
      <c r="E778" s="18" t="s">
        <v>74</v>
      </c>
      <c r="F778" s="30" t="s">
        <v>55</v>
      </c>
      <c r="G778" s="18">
        <v>3.053960766E9</v>
      </c>
      <c r="H778" s="18" t="s">
        <v>933</v>
      </c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20">
        <v>46183.0</v>
      </c>
      <c r="B779" s="17" t="s">
        <v>352</v>
      </c>
      <c r="C779" s="17" t="s">
        <v>934</v>
      </c>
      <c r="D779" s="20">
        <v>25347.0</v>
      </c>
      <c r="E779" s="18" t="s">
        <v>74</v>
      </c>
      <c r="F779" s="30" t="s">
        <v>55</v>
      </c>
      <c r="G779" s="18" t="s">
        <v>526</v>
      </c>
      <c r="H779" s="18" t="s">
        <v>935</v>
      </c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20">
        <v>46183.0</v>
      </c>
      <c r="B780" s="17" t="s">
        <v>352</v>
      </c>
      <c r="C780" s="17" t="s">
        <v>936</v>
      </c>
      <c r="D780" s="23">
        <v>31373.0</v>
      </c>
      <c r="E780" s="18" t="s">
        <v>74</v>
      </c>
      <c r="F780" s="30" t="s">
        <v>55</v>
      </c>
      <c r="G780" s="18">
        <v>7.865134385E9</v>
      </c>
      <c r="H780" s="18" t="s">
        <v>937</v>
      </c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20">
        <v>46183.0</v>
      </c>
      <c r="B781" s="17" t="s">
        <v>352</v>
      </c>
      <c r="C781" s="17" t="s">
        <v>938</v>
      </c>
      <c r="D781" s="23">
        <v>25496.0</v>
      </c>
      <c r="E781" s="18" t="s">
        <v>74</v>
      </c>
      <c r="F781" s="30" t="s">
        <v>55</v>
      </c>
      <c r="G781" s="18">
        <v>2.158697707E9</v>
      </c>
      <c r="H781" s="18" t="s">
        <v>935</v>
      </c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20">
        <v>46183.0</v>
      </c>
      <c r="B782" s="17" t="s">
        <v>352</v>
      </c>
      <c r="C782" s="17" t="s">
        <v>939</v>
      </c>
      <c r="D782" s="20">
        <v>25254.0</v>
      </c>
      <c r="E782" s="18" t="s">
        <v>74</v>
      </c>
      <c r="F782" s="30" t="s">
        <v>55</v>
      </c>
      <c r="G782" s="18">
        <v>7.866357457E9</v>
      </c>
      <c r="H782" s="18" t="s">
        <v>940</v>
      </c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20">
        <v>46183.0</v>
      </c>
      <c r="B783" s="17" t="s">
        <v>352</v>
      </c>
      <c r="C783" s="17" t="s">
        <v>941</v>
      </c>
      <c r="D783" s="20">
        <v>37002.0</v>
      </c>
      <c r="E783" s="18" t="s">
        <v>74</v>
      </c>
      <c r="F783" s="30" t="s">
        <v>55</v>
      </c>
      <c r="G783" s="18" t="s">
        <v>942</v>
      </c>
      <c r="H783" s="18" t="s">
        <v>943</v>
      </c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20">
        <v>46183.0</v>
      </c>
      <c r="B784" s="17" t="s">
        <v>352</v>
      </c>
      <c r="C784" s="17" t="s">
        <v>944</v>
      </c>
      <c r="D784" s="20">
        <v>26798.0</v>
      </c>
      <c r="E784" s="18" t="s">
        <v>74</v>
      </c>
      <c r="F784" s="30" t="s">
        <v>55</v>
      </c>
      <c r="G784" s="18">
        <v>7.865155657E9</v>
      </c>
      <c r="H784" s="18" t="s">
        <v>945</v>
      </c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20">
        <v>46183.0</v>
      </c>
      <c r="B785" s="17" t="s">
        <v>352</v>
      </c>
      <c r="C785" s="17" t="s">
        <v>946</v>
      </c>
      <c r="D785" s="20">
        <v>38087.0</v>
      </c>
      <c r="E785" s="18" t="s">
        <v>749</v>
      </c>
      <c r="F785" s="30" t="s">
        <v>55</v>
      </c>
      <c r="G785" s="18">
        <v>6.892923304E9</v>
      </c>
      <c r="H785" s="18" t="s">
        <v>947</v>
      </c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20">
        <v>46183.0</v>
      </c>
      <c r="B786" s="17" t="s">
        <v>352</v>
      </c>
      <c r="C786" s="17" t="s">
        <v>948</v>
      </c>
      <c r="D786" s="23">
        <v>33524.0</v>
      </c>
      <c r="E786" s="18" t="s">
        <v>749</v>
      </c>
      <c r="F786" s="30" t="s">
        <v>55</v>
      </c>
      <c r="G786" s="18">
        <v>3.057135165E9</v>
      </c>
      <c r="H786" s="18" t="s">
        <v>949</v>
      </c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40">
        <v>46184.0</v>
      </c>
      <c r="B787" s="41" t="s">
        <v>52</v>
      </c>
      <c r="C787" s="41" t="s">
        <v>950</v>
      </c>
      <c r="D787" s="40">
        <v>23770.0</v>
      </c>
      <c r="E787" s="42" t="s">
        <v>769</v>
      </c>
      <c r="F787" s="42" t="s">
        <v>55</v>
      </c>
      <c r="G787" s="43" t="s">
        <v>951</v>
      </c>
      <c r="H787" s="43" t="s">
        <v>952</v>
      </c>
      <c r="I787" s="44"/>
      <c r="J787" s="44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40">
        <v>46184.0</v>
      </c>
      <c r="B788" s="41" t="s">
        <v>52</v>
      </c>
      <c r="C788" s="41" t="s">
        <v>953</v>
      </c>
      <c r="D788" s="40">
        <v>33356.0</v>
      </c>
      <c r="E788" s="43" t="s">
        <v>769</v>
      </c>
      <c r="F788" s="42" t="s">
        <v>55</v>
      </c>
      <c r="G788" s="43">
        <v>7.867250552E9</v>
      </c>
      <c r="H788" s="43" t="s">
        <v>954</v>
      </c>
      <c r="I788" s="44"/>
      <c r="J788" s="44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40">
        <v>46184.0</v>
      </c>
      <c r="B789" s="41" t="s">
        <v>52</v>
      </c>
      <c r="C789" s="41" t="s">
        <v>955</v>
      </c>
      <c r="D789" s="40">
        <v>23256.0</v>
      </c>
      <c r="E789" s="43" t="s">
        <v>769</v>
      </c>
      <c r="F789" s="42" t="s">
        <v>55</v>
      </c>
      <c r="G789" s="43">
        <v>3.057724341E9</v>
      </c>
      <c r="H789" s="43" t="s">
        <v>956</v>
      </c>
      <c r="I789" s="44"/>
      <c r="J789" s="44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40">
        <v>46184.0</v>
      </c>
      <c r="B790" s="41" t="s">
        <v>52</v>
      </c>
      <c r="C790" s="41" t="s">
        <v>957</v>
      </c>
      <c r="D790" s="45">
        <v>31337.0</v>
      </c>
      <c r="E790" s="43" t="s">
        <v>769</v>
      </c>
      <c r="F790" s="42" t="s">
        <v>55</v>
      </c>
      <c r="G790" s="43">
        <v>7.867250552E9</v>
      </c>
      <c r="H790" s="43" t="s">
        <v>954</v>
      </c>
      <c r="I790" s="44"/>
      <c r="J790" s="44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40">
        <v>46184.0</v>
      </c>
      <c r="B791" s="41" t="s">
        <v>52</v>
      </c>
      <c r="C791" s="41" t="s">
        <v>958</v>
      </c>
      <c r="D791" s="40">
        <v>24687.0</v>
      </c>
      <c r="E791" s="43" t="s">
        <v>722</v>
      </c>
      <c r="F791" s="42" t="s">
        <v>55</v>
      </c>
      <c r="G791" s="43">
        <v>7.863796988E9</v>
      </c>
      <c r="H791" s="43" t="s">
        <v>959</v>
      </c>
      <c r="I791" s="44"/>
      <c r="J791" s="44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40">
        <v>46184.0</v>
      </c>
      <c r="B792" s="41" t="s">
        <v>52</v>
      </c>
      <c r="C792" s="41" t="s">
        <v>960</v>
      </c>
      <c r="D792" s="40">
        <v>23518.0</v>
      </c>
      <c r="E792" s="43" t="s">
        <v>722</v>
      </c>
      <c r="F792" s="42" t="s">
        <v>55</v>
      </c>
      <c r="G792" s="43" t="s">
        <v>961</v>
      </c>
      <c r="H792" s="43" t="s">
        <v>962</v>
      </c>
      <c r="I792" s="44"/>
      <c r="J792" s="44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40">
        <v>46184.0</v>
      </c>
      <c r="B793" s="41" t="s">
        <v>52</v>
      </c>
      <c r="C793" s="41" t="s">
        <v>963</v>
      </c>
      <c r="D793" s="40">
        <v>23213.0</v>
      </c>
      <c r="E793" s="43" t="s">
        <v>722</v>
      </c>
      <c r="F793" s="42" t="s">
        <v>55</v>
      </c>
      <c r="G793" s="43" t="s">
        <v>964</v>
      </c>
      <c r="H793" s="43" t="s">
        <v>965</v>
      </c>
      <c r="I793" s="44"/>
      <c r="J793" s="44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40">
        <v>46184.0</v>
      </c>
      <c r="B794" s="41" t="s">
        <v>52</v>
      </c>
      <c r="C794" s="17" t="s">
        <v>966</v>
      </c>
      <c r="D794" s="20">
        <v>27670.0</v>
      </c>
      <c r="E794" s="43" t="s">
        <v>722</v>
      </c>
      <c r="F794" s="42" t="s">
        <v>55</v>
      </c>
      <c r="G794" s="18">
        <v>7.865937468E9</v>
      </c>
      <c r="H794" s="18" t="s">
        <v>967</v>
      </c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40">
        <v>46184.0</v>
      </c>
      <c r="B795" s="41" t="s">
        <v>52</v>
      </c>
      <c r="C795" s="17" t="s">
        <v>968</v>
      </c>
      <c r="D795" s="20">
        <v>31780.0</v>
      </c>
      <c r="E795" s="43" t="s">
        <v>722</v>
      </c>
      <c r="F795" s="42" t="s">
        <v>55</v>
      </c>
      <c r="G795" s="18" t="s">
        <v>969</v>
      </c>
      <c r="H795" s="18" t="s">
        <v>970</v>
      </c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ht="15.75" customHeight="1">
      <c r="A796" s="40">
        <v>46184.0</v>
      </c>
      <c r="B796" s="41" t="s">
        <v>52</v>
      </c>
      <c r="C796" s="17" t="s">
        <v>971</v>
      </c>
      <c r="D796" s="20">
        <v>35509.0</v>
      </c>
      <c r="E796" s="43" t="s">
        <v>722</v>
      </c>
      <c r="F796" s="42" t="s">
        <v>55</v>
      </c>
      <c r="G796" s="18" t="s">
        <v>972</v>
      </c>
      <c r="H796" s="18" t="s">
        <v>973</v>
      </c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ht="17.25" customHeight="1">
      <c r="A797" s="40">
        <v>46184.0</v>
      </c>
      <c r="B797" s="41" t="s">
        <v>52</v>
      </c>
      <c r="C797" s="17" t="s">
        <v>974</v>
      </c>
      <c r="D797" s="20">
        <v>24714.0</v>
      </c>
      <c r="E797" s="43" t="s">
        <v>722</v>
      </c>
      <c r="F797" s="42" t="s">
        <v>55</v>
      </c>
      <c r="G797" s="18">
        <v>7.869382407E9</v>
      </c>
      <c r="H797" s="18" t="s">
        <v>975</v>
      </c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40">
        <v>46184.0</v>
      </c>
      <c r="B798" s="41" t="s">
        <v>52</v>
      </c>
      <c r="C798" s="17" t="s">
        <v>976</v>
      </c>
      <c r="D798" s="23">
        <v>34691.0</v>
      </c>
      <c r="E798" s="43" t="s">
        <v>722</v>
      </c>
      <c r="F798" s="42" t="s">
        <v>55</v>
      </c>
      <c r="G798" s="18">
        <v>3.059682721E9</v>
      </c>
      <c r="H798" s="18" t="s">
        <v>977</v>
      </c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40">
        <v>46184.0</v>
      </c>
      <c r="B799" s="41" t="s">
        <v>52</v>
      </c>
      <c r="C799" s="17" t="s">
        <v>978</v>
      </c>
      <c r="D799" s="20">
        <v>37523.0</v>
      </c>
      <c r="E799" s="43" t="s">
        <v>722</v>
      </c>
      <c r="F799" s="42" t="s">
        <v>55</v>
      </c>
      <c r="G799" s="18">
        <v>9.543839219E9</v>
      </c>
      <c r="H799" s="18" t="s">
        <v>979</v>
      </c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40">
        <v>46184.0</v>
      </c>
      <c r="B800" s="41" t="s">
        <v>52</v>
      </c>
      <c r="C800" s="17" t="s">
        <v>980</v>
      </c>
      <c r="D800" s="23">
        <v>34651.0</v>
      </c>
      <c r="E800" s="43" t="s">
        <v>722</v>
      </c>
      <c r="F800" s="42" t="s">
        <v>55</v>
      </c>
      <c r="G800" s="18">
        <v>7.864071441E9</v>
      </c>
      <c r="H800" s="18" t="s">
        <v>981</v>
      </c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40">
        <v>46184.0</v>
      </c>
      <c r="B801" s="41" t="s">
        <v>52</v>
      </c>
      <c r="C801" s="17" t="s">
        <v>982</v>
      </c>
      <c r="D801" s="20">
        <v>34551.0</v>
      </c>
      <c r="E801" s="43" t="s">
        <v>722</v>
      </c>
      <c r="F801" s="42" t="s">
        <v>55</v>
      </c>
      <c r="G801" s="18">
        <v>7.867400628E9</v>
      </c>
      <c r="H801" s="18" t="s">
        <v>983</v>
      </c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40">
        <v>46184.0</v>
      </c>
      <c r="B802" s="41" t="s">
        <v>52</v>
      </c>
      <c r="C802" s="17" t="s">
        <v>984</v>
      </c>
      <c r="D802" s="20">
        <v>35807.0</v>
      </c>
      <c r="E802" s="43" t="s">
        <v>722</v>
      </c>
      <c r="F802" s="42" t="s">
        <v>55</v>
      </c>
      <c r="G802" s="18" t="s">
        <v>985</v>
      </c>
      <c r="H802" s="18" t="s">
        <v>986</v>
      </c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40">
        <v>46184.0</v>
      </c>
      <c r="B803" s="41" t="s">
        <v>52</v>
      </c>
      <c r="C803" s="17" t="s">
        <v>987</v>
      </c>
      <c r="D803" s="23">
        <v>39063.0</v>
      </c>
      <c r="E803" s="43" t="s">
        <v>722</v>
      </c>
      <c r="F803" s="42" t="s">
        <v>55</v>
      </c>
      <c r="G803" s="18">
        <v>7.866095933E9</v>
      </c>
      <c r="H803" s="18" t="s">
        <v>988</v>
      </c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40">
        <v>46184.0</v>
      </c>
      <c r="B804" s="46" t="s">
        <v>352</v>
      </c>
      <c r="C804" s="17" t="s">
        <v>989</v>
      </c>
      <c r="D804" s="20">
        <v>33820.0</v>
      </c>
      <c r="E804" s="47" t="s">
        <v>74</v>
      </c>
      <c r="F804" s="42" t="s">
        <v>55</v>
      </c>
      <c r="G804" s="18">
        <v>7.866303545E9</v>
      </c>
      <c r="H804" s="18" t="s">
        <v>990</v>
      </c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40">
        <v>46184.0</v>
      </c>
      <c r="B805" s="46" t="s">
        <v>352</v>
      </c>
      <c r="C805" s="17" t="s">
        <v>991</v>
      </c>
      <c r="D805" s="20">
        <v>30654.0</v>
      </c>
      <c r="E805" s="47" t="s">
        <v>74</v>
      </c>
      <c r="F805" s="42" t="s">
        <v>55</v>
      </c>
      <c r="G805" s="18">
        <v>7.866303545E9</v>
      </c>
      <c r="H805" s="18" t="s">
        <v>990</v>
      </c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40">
        <v>46184.0</v>
      </c>
      <c r="B806" s="46" t="s">
        <v>352</v>
      </c>
      <c r="C806" s="17" t="s">
        <v>992</v>
      </c>
      <c r="D806" s="20">
        <v>36645.0</v>
      </c>
      <c r="E806" s="47" t="s">
        <v>74</v>
      </c>
      <c r="F806" s="42" t="s">
        <v>55</v>
      </c>
      <c r="G806" s="18">
        <v>7.866650809E9</v>
      </c>
      <c r="H806" s="18" t="s">
        <v>993</v>
      </c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40">
        <v>46184.0</v>
      </c>
      <c r="B807" s="46" t="s">
        <v>352</v>
      </c>
      <c r="C807" s="17" t="s">
        <v>994</v>
      </c>
      <c r="D807" s="20">
        <v>25475.0</v>
      </c>
      <c r="E807" s="47" t="s">
        <v>74</v>
      </c>
      <c r="F807" s="42" t="s">
        <v>55</v>
      </c>
      <c r="G807" s="18" t="s">
        <v>930</v>
      </c>
      <c r="H807" s="18" t="s">
        <v>995</v>
      </c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40">
        <v>46184.0</v>
      </c>
      <c r="B808" s="46" t="s">
        <v>352</v>
      </c>
      <c r="C808" s="17" t="s">
        <v>996</v>
      </c>
      <c r="D808" s="23">
        <v>36518.0</v>
      </c>
      <c r="E808" s="47" t="s">
        <v>74</v>
      </c>
      <c r="F808" s="42" t="s">
        <v>55</v>
      </c>
      <c r="G808" s="18" t="s">
        <v>997</v>
      </c>
      <c r="H808" s="18" t="s">
        <v>998</v>
      </c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40">
        <v>46184.0</v>
      </c>
      <c r="B809" s="46" t="s">
        <v>352</v>
      </c>
      <c r="C809" s="17" t="s">
        <v>999</v>
      </c>
      <c r="D809" s="20">
        <v>37019.0</v>
      </c>
      <c r="E809" s="47" t="s">
        <v>74</v>
      </c>
      <c r="F809" s="42" t="s">
        <v>55</v>
      </c>
      <c r="G809" s="18">
        <v>7.868248843E9</v>
      </c>
      <c r="H809" s="18" t="s">
        <v>1000</v>
      </c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40">
        <v>46184.0</v>
      </c>
      <c r="B810" s="46" t="s">
        <v>352</v>
      </c>
      <c r="C810" s="17" t="s">
        <v>1001</v>
      </c>
      <c r="D810" s="20">
        <v>30563.0</v>
      </c>
      <c r="E810" s="47" t="s">
        <v>749</v>
      </c>
      <c r="F810" s="18" t="s">
        <v>55</v>
      </c>
      <c r="G810" s="18" t="s">
        <v>1002</v>
      </c>
      <c r="H810" s="18" t="s">
        <v>1003</v>
      </c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40">
        <v>46184.0</v>
      </c>
      <c r="B811" s="46" t="s">
        <v>352</v>
      </c>
      <c r="C811" s="17" t="s">
        <v>1004</v>
      </c>
      <c r="D811" s="23">
        <v>31007.0</v>
      </c>
      <c r="E811" s="18" t="s">
        <v>749</v>
      </c>
      <c r="F811" s="18" t="s">
        <v>55</v>
      </c>
      <c r="G811" s="18" t="s">
        <v>1005</v>
      </c>
      <c r="H811" s="18" t="s">
        <v>1006</v>
      </c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40">
        <v>46184.0</v>
      </c>
      <c r="B812" s="46" t="s">
        <v>352</v>
      </c>
      <c r="C812" s="17" t="s">
        <v>1007</v>
      </c>
      <c r="D812" s="20">
        <v>23592.0</v>
      </c>
      <c r="E812" s="18" t="s">
        <v>749</v>
      </c>
      <c r="F812" s="18" t="s">
        <v>55</v>
      </c>
      <c r="G812" s="18">
        <v>7.866631948E9</v>
      </c>
      <c r="H812" s="18" t="s">
        <v>1008</v>
      </c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40">
        <v>46184.0</v>
      </c>
      <c r="B813" s="46" t="s">
        <v>352</v>
      </c>
      <c r="C813" s="17" t="s">
        <v>1009</v>
      </c>
      <c r="D813" s="23">
        <v>33959.0</v>
      </c>
      <c r="E813" s="18" t="s">
        <v>81</v>
      </c>
      <c r="F813" s="18" t="s">
        <v>55</v>
      </c>
      <c r="G813" s="18" t="s">
        <v>1010</v>
      </c>
      <c r="H813" s="18" t="s">
        <v>1011</v>
      </c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40">
        <v>46184.0</v>
      </c>
      <c r="B814" s="46" t="s">
        <v>352</v>
      </c>
      <c r="C814" s="17" t="s">
        <v>1012</v>
      </c>
      <c r="D814" s="20">
        <v>34230.0</v>
      </c>
      <c r="E814" s="18" t="s">
        <v>81</v>
      </c>
      <c r="F814" s="18" t="s">
        <v>55</v>
      </c>
      <c r="G814" s="18">
        <v>7.865124549E9</v>
      </c>
      <c r="H814" s="18" t="s">
        <v>1013</v>
      </c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40">
        <v>46184.0</v>
      </c>
      <c r="B815" s="46" t="s">
        <v>352</v>
      </c>
      <c r="C815" s="17" t="s">
        <v>1014</v>
      </c>
      <c r="D815" s="20">
        <v>34874.0</v>
      </c>
      <c r="E815" s="18" t="s">
        <v>81</v>
      </c>
      <c r="F815" s="18" t="s">
        <v>55</v>
      </c>
      <c r="G815" s="18" t="s">
        <v>1015</v>
      </c>
      <c r="H815" s="18" t="s">
        <v>1013</v>
      </c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40">
        <v>46184.0</v>
      </c>
      <c r="B816" s="46" t="s">
        <v>352</v>
      </c>
      <c r="C816" s="17" t="s">
        <v>1016</v>
      </c>
      <c r="D816" s="23">
        <v>31364.0</v>
      </c>
      <c r="E816" s="18" t="s">
        <v>81</v>
      </c>
      <c r="F816" s="18" t="s">
        <v>55</v>
      </c>
      <c r="G816" s="18" t="s">
        <v>1017</v>
      </c>
      <c r="H816" s="18" t="s">
        <v>1018</v>
      </c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40">
        <v>46184.0</v>
      </c>
      <c r="B817" s="46" t="s">
        <v>352</v>
      </c>
      <c r="C817" s="17" t="s">
        <v>1019</v>
      </c>
      <c r="D817" s="20">
        <v>29766.0</v>
      </c>
      <c r="E817" s="18" t="s">
        <v>81</v>
      </c>
      <c r="F817" s="18" t="s">
        <v>55</v>
      </c>
      <c r="G817" s="18">
        <v>7.868032703E9</v>
      </c>
      <c r="H817" s="18" t="s">
        <v>1020</v>
      </c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48">
        <v>46188.0</v>
      </c>
      <c r="B818" s="41" t="s">
        <v>52</v>
      </c>
      <c r="C818" s="17" t="s">
        <v>1021</v>
      </c>
      <c r="D818" s="20">
        <v>38876.0</v>
      </c>
      <c r="E818" s="18" t="s">
        <v>81</v>
      </c>
      <c r="F818" s="18" t="s">
        <v>55</v>
      </c>
      <c r="G818" s="18">
        <v>3.057633776E9</v>
      </c>
      <c r="H818" s="18" t="s">
        <v>1022</v>
      </c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48">
        <v>46188.0</v>
      </c>
      <c r="B819" s="41" t="s">
        <v>52</v>
      </c>
      <c r="C819" s="17" t="s">
        <v>1023</v>
      </c>
      <c r="D819" s="20">
        <v>30200.0</v>
      </c>
      <c r="E819" s="18" t="s">
        <v>81</v>
      </c>
      <c r="F819" s="18" t="s">
        <v>55</v>
      </c>
      <c r="G819" s="18" t="s">
        <v>1024</v>
      </c>
      <c r="H819" s="18" t="s">
        <v>1025</v>
      </c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48">
        <v>46188.0</v>
      </c>
      <c r="B820" s="41" t="s">
        <v>52</v>
      </c>
      <c r="C820" s="17" t="s">
        <v>1026</v>
      </c>
      <c r="D820" s="20">
        <v>28885.0</v>
      </c>
      <c r="E820" s="18" t="s">
        <v>81</v>
      </c>
      <c r="F820" s="18" t="s">
        <v>55</v>
      </c>
      <c r="G820" s="18">
        <v>7.869611929E9</v>
      </c>
      <c r="H820" s="18" t="s">
        <v>1027</v>
      </c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48">
        <v>46188.0</v>
      </c>
      <c r="B821" s="41" t="s">
        <v>52</v>
      </c>
      <c r="C821" s="17" t="s">
        <v>1028</v>
      </c>
      <c r="D821" s="20">
        <v>31591.0</v>
      </c>
      <c r="E821" s="18" t="s">
        <v>81</v>
      </c>
      <c r="F821" s="18" t="s">
        <v>55</v>
      </c>
      <c r="G821" s="18">
        <v>7.867169542E9</v>
      </c>
      <c r="H821" s="18" t="s">
        <v>1029</v>
      </c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48">
        <v>46188.0</v>
      </c>
      <c r="B822" s="46" t="s">
        <v>352</v>
      </c>
      <c r="C822" s="17" t="s">
        <v>1030</v>
      </c>
      <c r="D822" s="20">
        <v>25823.0</v>
      </c>
      <c r="E822" s="18" t="s">
        <v>81</v>
      </c>
      <c r="F822" s="18" t="s">
        <v>55</v>
      </c>
      <c r="G822" s="18" t="s">
        <v>1031</v>
      </c>
      <c r="H822" s="18" t="s">
        <v>1032</v>
      </c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48">
        <v>46188.0</v>
      </c>
      <c r="B823" s="46" t="s">
        <v>352</v>
      </c>
      <c r="C823" s="17" t="s">
        <v>1033</v>
      </c>
      <c r="D823" s="20">
        <v>30693.0</v>
      </c>
      <c r="E823" s="18" t="s">
        <v>81</v>
      </c>
      <c r="F823" s="18" t="s">
        <v>55</v>
      </c>
      <c r="G823" s="18" t="s">
        <v>1034</v>
      </c>
      <c r="H823" s="18" t="s">
        <v>1035</v>
      </c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48">
        <v>46188.0</v>
      </c>
      <c r="B824" s="46" t="s">
        <v>352</v>
      </c>
      <c r="C824" s="17" t="s">
        <v>1036</v>
      </c>
      <c r="D824" s="20">
        <v>38820.0</v>
      </c>
      <c r="E824" s="18" t="s">
        <v>81</v>
      </c>
      <c r="F824" s="18" t="s">
        <v>55</v>
      </c>
      <c r="G824" s="18" t="s">
        <v>1037</v>
      </c>
      <c r="H824" s="18" t="s">
        <v>1038</v>
      </c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48">
        <v>46188.0</v>
      </c>
      <c r="B825" s="46" t="s">
        <v>352</v>
      </c>
      <c r="C825" s="17" t="s">
        <v>1039</v>
      </c>
      <c r="D825" s="20">
        <v>29858.0</v>
      </c>
      <c r="E825" s="18" t="s">
        <v>81</v>
      </c>
      <c r="F825" s="18" t="s">
        <v>55</v>
      </c>
      <c r="G825" s="18" t="s">
        <v>1040</v>
      </c>
      <c r="H825" s="18" t="s">
        <v>1041</v>
      </c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48">
        <v>46188.0</v>
      </c>
      <c r="B826" s="41" t="s">
        <v>52</v>
      </c>
      <c r="C826" s="17" t="s">
        <v>1042</v>
      </c>
      <c r="D826" s="20">
        <v>22501.0</v>
      </c>
      <c r="E826" s="18" t="s">
        <v>769</v>
      </c>
      <c r="F826" s="18" t="s">
        <v>55</v>
      </c>
      <c r="G826" s="18" t="s">
        <v>1043</v>
      </c>
      <c r="H826" s="18" t="s">
        <v>1044</v>
      </c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48">
        <v>46188.0</v>
      </c>
      <c r="B827" s="41" t="s">
        <v>52</v>
      </c>
      <c r="C827" s="17" t="s">
        <v>1045</v>
      </c>
      <c r="D827" s="17" t="s">
        <v>526</v>
      </c>
      <c r="E827" s="18" t="s">
        <v>769</v>
      </c>
      <c r="F827" s="18" t="s">
        <v>55</v>
      </c>
      <c r="G827" s="18" t="s">
        <v>1046</v>
      </c>
      <c r="H827" s="18" t="s">
        <v>1047</v>
      </c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48">
        <v>46188.0</v>
      </c>
      <c r="B828" s="41" t="s">
        <v>52</v>
      </c>
      <c r="C828" s="17" t="s">
        <v>1048</v>
      </c>
      <c r="D828" s="17" t="s">
        <v>526</v>
      </c>
      <c r="E828" s="18" t="s">
        <v>769</v>
      </c>
      <c r="F828" s="18" t="s">
        <v>55</v>
      </c>
      <c r="G828" s="18" t="s">
        <v>1049</v>
      </c>
      <c r="H828" s="18" t="s">
        <v>1050</v>
      </c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48">
        <v>46188.0</v>
      </c>
      <c r="B829" s="41" t="s">
        <v>52</v>
      </c>
      <c r="C829" s="17" t="s">
        <v>1051</v>
      </c>
      <c r="D829" s="20">
        <v>30567.0</v>
      </c>
      <c r="E829" s="18" t="s">
        <v>54</v>
      </c>
      <c r="F829" s="18" t="s">
        <v>55</v>
      </c>
      <c r="G829" s="18" t="s">
        <v>1052</v>
      </c>
      <c r="H829" s="18" t="s">
        <v>1053</v>
      </c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48">
        <v>46188.0</v>
      </c>
      <c r="B830" s="41" t="s">
        <v>52</v>
      </c>
      <c r="C830" s="17" t="s">
        <v>1054</v>
      </c>
      <c r="D830" s="23">
        <v>25490.0</v>
      </c>
      <c r="E830" s="18" t="s">
        <v>54</v>
      </c>
      <c r="F830" s="18" t="s">
        <v>55</v>
      </c>
      <c r="G830" s="18" t="s">
        <v>1055</v>
      </c>
      <c r="H830" s="18" t="s">
        <v>1056</v>
      </c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48">
        <v>46188.0</v>
      </c>
      <c r="B831" s="41" t="s">
        <v>52</v>
      </c>
      <c r="C831" s="17" t="s">
        <v>1057</v>
      </c>
      <c r="D831" s="20">
        <v>27463.0</v>
      </c>
      <c r="E831" s="18" t="s">
        <v>54</v>
      </c>
      <c r="F831" s="18" t="s">
        <v>55</v>
      </c>
      <c r="G831" s="18" t="s">
        <v>1058</v>
      </c>
      <c r="H831" s="18" t="s">
        <v>1059</v>
      </c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48">
        <v>46188.0</v>
      </c>
      <c r="B832" s="41" t="s">
        <v>52</v>
      </c>
      <c r="C832" s="17" t="s">
        <v>1060</v>
      </c>
      <c r="D832" s="20">
        <v>35488.0</v>
      </c>
      <c r="E832" s="18" t="s">
        <v>54</v>
      </c>
      <c r="F832" s="18" t="s">
        <v>55</v>
      </c>
      <c r="G832" s="18">
        <v>7.868744271E9</v>
      </c>
      <c r="H832" s="18" t="s">
        <v>1061</v>
      </c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48">
        <v>46188.0</v>
      </c>
      <c r="B833" s="41" t="s">
        <v>52</v>
      </c>
      <c r="C833" s="17" t="s">
        <v>1062</v>
      </c>
      <c r="D833" s="20">
        <v>32401.0</v>
      </c>
      <c r="E833" s="18" t="s">
        <v>54</v>
      </c>
      <c r="F833" s="18" t="s">
        <v>55</v>
      </c>
      <c r="G833" s="18" t="s">
        <v>1063</v>
      </c>
      <c r="H833" s="18" t="s">
        <v>1064</v>
      </c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48">
        <v>46188.0</v>
      </c>
      <c r="B834" s="41" t="s">
        <v>52</v>
      </c>
      <c r="C834" s="17" t="s">
        <v>1065</v>
      </c>
      <c r="D834" s="20">
        <v>24611.0</v>
      </c>
      <c r="E834" s="18" t="s">
        <v>54</v>
      </c>
      <c r="F834" s="18" t="s">
        <v>55</v>
      </c>
      <c r="G834" s="18">
        <v>7.86895831E9</v>
      </c>
      <c r="H834" s="18" t="s">
        <v>1066</v>
      </c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48">
        <v>46188.0</v>
      </c>
      <c r="B835" s="41" t="s">
        <v>52</v>
      </c>
      <c r="C835" s="17" t="s">
        <v>1067</v>
      </c>
      <c r="D835" s="20">
        <v>29712.0</v>
      </c>
      <c r="E835" s="18" t="s">
        <v>54</v>
      </c>
      <c r="F835" s="18" t="s">
        <v>55</v>
      </c>
      <c r="G835" s="18">
        <v>7.866067092E9</v>
      </c>
      <c r="H835" s="18" t="s">
        <v>1068</v>
      </c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48">
        <v>46188.0</v>
      </c>
      <c r="B836" s="41" t="s">
        <v>52</v>
      </c>
      <c r="C836" s="17" t="s">
        <v>1069</v>
      </c>
      <c r="D836" s="20">
        <v>25970.0</v>
      </c>
      <c r="E836" s="18" t="s">
        <v>54</v>
      </c>
      <c r="F836" s="18" t="s">
        <v>55</v>
      </c>
      <c r="G836" s="18">
        <v>7.869700683E9</v>
      </c>
      <c r="H836" s="18" t="s">
        <v>1070</v>
      </c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48">
        <v>46188.0</v>
      </c>
      <c r="B837" s="41" t="s">
        <v>52</v>
      </c>
      <c r="C837" s="17" t="s">
        <v>1071</v>
      </c>
      <c r="D837" s="20">
        <v>31312.0</v>
      </c>
      <c r="E837" s="18" t="s">
        <v>54</v>
      </c>
      <c r="F837" s="18" t="s">
        <v>55</v>
      </c>
      <c r="G837" s="18" t="s">
        <v>1072</v>
      </c>
      <c r="H837" s="18" t="s">
        <v>1073</v>
      </c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48">
        <v>46188.0</v>
      </c>
      <c r="B838" s="41" t="s">
        <v>52</v>
      </c>
      <c r="C838" s="17" t="s">
        <v>1074</v>
      </c>
      <c r="D838" s="20">
        <v>33476.0</v>
      </c>
      <c r="E838" s="18" t="s">
        <v>54</v>
      </c>
      <c r="F838" s="18" t="s">
        <v>55</v>
      </c>
      <c r="G838" s="18" t="s">
        <v>1075</v>
      </c>
      <c r="H838" s="18" t="s">
        <v>1073</v>
      </c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48">
        <v>46188.0</v>
      </c>
      <c r="B839" s="46" t="s">
        <v>352</v>
      </c>
      <c r="C839" s="17" t="s">
        <v>1076</v>
      </c>
      <c r="D839" s="23">
        <v>33198.0</v>
      </c>
      <c r="E839" s="18" t="s">
        <v>54</v>
      </c>
      <c r="F839" s="18" t="s">
        <v>55</v>
      </c>
      <c r="G839" s="18" t="s">
        <v>1077</v>
      </c>
      <c r="H839" s="18" t="s">
        <v>1078</v>
      </c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48">
        <v>46188.0</v>
      </c>
      <c r="B840" s="46" t="s">
        <v>352</v>
      </c>
      <c r="C840" s="17" t="s">
        <v>1079</v>
      </c>
      <c r="D840" s="23">
        <v>31764.0</v>
      </c>
      <c r="E840" s="18" t="s">
        <v>54</v>
      </c>
      <c r="F840" s="18" t="s">
        <v>55</v>
      </c>
      <c r="G840" s="18">
        <v>7.867817603E9</v>
      </c>
      <c r="H840" s="18" t="s">
        <v>1078</v>
      </c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48">
        <v>46188.0</v>
      </c>
      <c r="B841" s="46" t="s">
        <v>352</v>
      </c>
      <c r="C841" s="17" t="s">
        <v>1080</v>
      </c>
      <c r="D841" s="20">
        <v>33354.0</v>
      </c>
      <c r="E841" s="18" t="s">
        <v>54</v>
      </c>
      <c r="F841" s="18" t="s">
        <v>55</v>
      </c>
      <c r="G841" s="18" t="s">
        <v>1081</v>
      </c>
      <c r="H841" s="18" t="s">
        <v>1082</v>
      </c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48">
        <v>46188.0</v>
      </c>
      <c r="B842" s="46" t="s">
        <v>352</v>
      </c>
      <c r="C842" s="17" t="s">
        <v>1083</v>
      </c>
      <c r="D842" s="20">
        <v>34933.0</v>
      </c>
      <c r="E842" s="18" t="s">
        <v>54</v>
      </c>
      <c r="F842" s="18" t="s">
        <v>55</v>
      </c>
      <c r="G842" s="18" t="s">
        <v>1084</v>
      </c>
      <c r="H842" s="18" t="s">
        <v>1082</v>
      </c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48">
        <v>46188.0</v>
      </c>
      <c r="B843" s="46" t="s">
        <v>352</v>
      </c>
      <c r="C843" s="17" t="s">
        <v>1085</v>
      </c>
      <c r="D843" s="20">
        <v>26172.0</v>
      </c>
      <c r="E843" s="18" t="s">
        <v>54</v>
      </c>
      <c r="F843" s="18" t="s">
        <v>55</v>
      </c>
      <c r="G843" s="18" t="s">
        <v>1086</v>
      </c>
      <c r="H843" s="18" t="s">
        <v>1087</v>
      </c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48">
        <v>46188.0</v>
      </c>
      <c r="B844" s="46" t="s">
        <v>352</v>
      </c>
      <c r="C844" s="17" t="s">
        <v>1088</v>
      </c>
      <c r="D844" s="20">
        <v>25984.0</v>
      </c>
      <c r="E844" s="18" t="s">
        <v>54</v>
      </c>
      <c r="F844" s="18" t="s">
        <v>55</v>
      </c>
      <c r="G844" s="18">
        <v>7.869569452E9</v>
      </c>
      <c r="H844" s="18" t="s">
        <v>1089</v>
      </c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48">
        <v>46188.0</v>
      </c>
      <c r="B845" s="46" t="s">
        <v>352</v>
      </c>
      <c r="C845" s="17" t="s">
        <v>1090</v>
      </c>
      <c r="D845" s="20">
        <v>23218.0</v>
      </c>
      <c r="E845" s="18" t="s">
        <v>54</v>
      </c>
      <c r="F845" s="18" t="s">
        <v>55</v>
      </c>
      <c r="G845" s="18">
        <v>7.86366429E9</v>
      </c>
      <c r="H845" s="18" t="s">
        <v>1089</v>
      </c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48">
        <v>46188.0</v>
      </c>
      <c r="B846" s="46" t="s">
        <v>352</v>
      </c>
      <c r="C846" s="17" t="s">
        <v>1091</v>
      </c>
      <c r="D846" s="20">
        <v>31609.0</v>
      </c>
      <c r="E846" s="18" t="s">
        <v>54</v>
      </c>
      <c r="F846" s="18" t="s">
        <v>55</v>
      </c>
      <c r="G846" s="18" t="s">
        <v>1092</v>
      </c>
      <c r="H846" s="18" t="s">
        <v>1089</v>
      </c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48">
        <v>46188.0</v>
      </c>
      <c r="B847" s="46" t="s">
        <v>352</v>
      </c>
      <c r="C847" s="17" t="s">
        <v>1093</v>
      </c>
      <c r="D847" s="20">
        <v>31264.0</v>
      </c>
      <c r="E847" s="18" t="s">
        <v>54</v>
      </c>
      <c r="F847" s="18" t="s">
        <v>55</v>
      </c>
      <c r="G847" s="18" t="s">
        <v>1094</v>
      </c>
      <c r="H847" s="18" t="s">
        <v>1095</v>
      </c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48">
        <v>46188.0</v>
      </c>
      <c r="B848" s="46" t="s">
        <v>352</v>
      </c>
      <c r="C848" s="17" t="s">
        <v>1096</v>
      </c>
      <c r="D848" s="20">
        <v>31604.0</v>
      </c>
      <c r="E848" s="18" t="s">
        <v>54</v>
      </c>
      <c r="F848" s="18" t="s">
        <v>55</v>
      </c>
      <c r="G848" s="18" t="s">
        <v>1097</v>
      </c>
      <c r="H848" s="18" t="s">
        <v>1098</v>
      </c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48">
        <v>46188.0</v>
      </c>
      <c r="B849" s="46" t="s">
        <v>352</v>
      </c>
      <c r="C849" s="17" t="s">
        <v>1099</v>
      </c>
      <c r="D849" s="20">
        <v>25270.0</v>
      </c>
      <c r="E849" s="18" t="s">
        <v>74</v>
      </c>
      <c r="F849" s="18" t="s">
        <v>55</v>
      </c>
      <c r="G849" s="18" t="s">
        <v>1100</v>
      </c>
      <c r="H849" s="18" t="s">
        <v>1101</v>
      </c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48">
        <v>46188.0</v>
      </c>
      <c r="B850" s="46" t="s">
        <v>352</v>
      </c>
      <c r="C850" s="17" t="s">
        <v>1102</v>
      </c>
      <c r="D850" s="23">
        <v>35418.0</v>
      </c>
      <c r="E850" s="18" t="s">
        <v>74</v>
      </c>
      <c r="F850" s="18" t="s">
        <v>55</v>
      </c>
      <c r="G850" s="18">
        <v>7.866650809E9</v>
      </c>
      <c r="H850" s="18" t="s">
        <v>1103</v>
      </c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48">
        <v>46188.0</v>
      </c>
      <c r="B851" s="46" t="s">
        <v>352</v>
      </c>
      <c r="C851" s="17" t="s">
        <v>1104</v>
      </c>
      <c r="D851" s="20">
        <v>26771.0</v>
      </c>
      <c r="E851" s="18" t="s">
        <v>74</v>
      </c>
      <c r="F851" s="18" t="s">
        <v>55</v>
      </c>
      <c r="G851" s="18" t="s">
        <v>1105</v>
      </c>
      <c r="H851" s="18" t="s">
        <v>1106</v>
      </c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48">
        <v>46188.0</v>
      </c>
      <c r="B852" s="46" t="s">
        <v>352</v>
      </c>
      <c r="C852" s="17" t="s">
        <v>1107</v>
      </c>
      <c r="D852" s="23">
        <v>20079.0</v>
      </c>
      <c r="E852" s="18" t="s">
        <v>74</v>
      </c>
      <c r="F852" s="18" t="s">
        <v>55</v>
      </c>
      <c r="G852" s="18" t="s">
        <v>1108</v>
      </c>
      <c r="H852" s="18" t="s">
        <v>1109</v>
      </c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48">
        <v>46188.0</v>
      </c>
      <c r="B853" s="46" t="s">
        <v>352</v>
      </c>
      <c r="C853" s="17" t="s">
        <v>1110</v>
      </c>
      <c r="D853" s="20">
        <v>31567.0</v>
      </c>
      <c r="E853" s="18" t="s">
        <v>74</v>
      </c>
      <c r="F853" s="18" t="s">
        <v>55</v>
      </c>
      <c r="G853" s="18" t="s">
        <v>1111</v>
      </c>
      <c r="H853" s="18" t="s">
        <v>1112</v>
      </c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48">
        <v>46188.0</v>
      </c>
      <c r="B854" s="46" t="s">
        <v>352</v>
      </c>
      <c r="C854" s="17" t="s">
        <v>1113</v>
      </c>
      <c r="D854" s="20">
        <v>33513.0</v>
      </c>
      <c r="E854" s="18" t="s">
        <v>74</v>
      </c>
      <c r="F854" s="18" t="s">
        <v>55</v>
      </c>
      <c r="G854" s="18" t="s">
        <v>1114</v>
      </c>
      <c r="H854" s="18" t="s">
        <v>1115</v>
      </c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48">
        <v>46188.0</v>
      </c>
      <c r="B855" s="46" t="s">
        <v>52</v>
      </c>
      <c r="C855" s="17" t="s">
        <v>1116</v>
      </c>
      <c r="D855" s="20">
        <v>33300.0</v>
      </c>
      <c r="E855" s="18" t="s">
        <v>74</v>
      </c>
      <c r="F855" s="18" t="s">
        <v>55</v>
      </c>
      <c r="G855" s="18" t="s">
        <v>1117</v>
      </c>
      <c r="H855" s="18" t="s">
        <v>1118</v>
      </c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48">
        <v>46188.0</v>
      </c>
      <c r="B856" s="46" t="s">
        <v>52</v>
      </c>
      <c r="C856" s="17" t="s">
        <v>1119</v>
      </c>
      <c r="D856" s="20">
        <v>37848.0</v>
      </c>
      <c r="E856" s="18" t="s">
        <v>74</v>
      </c>
      <c r="F856" s="18" t="s">
        <v>55</v>
      </c>
      <c r="G856" s="18" t="s">
        <v>1120</v>
      </c>
      <c r="H856" s="18" t="s">
        <v>1121</v>
      </c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48">
        <v>46188.0</v>
      </c>
      <c r="B857" s="46" t="s">
        <v>52</v>
      </c>
      <c r="C857" s="17" t="s">
        <v>1122</v>
      </c>
      <c r="D857" s="20">
        <v>25951.0</v>
      </c>
      <c r="E857" s="18" t="s">
        <v>74</v>
      </c>
      <c r="F857" s="18" t="s">
        <v>55</v>
      </c>
      <c r="G857" s="18" t="s">
        <v>1123</v>
      </c>
      <c r="H857" s="18" t="s">
        <v>1124</v>
      </c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48">
        <v>46188.0</v>
      </c>
      <c r="B858" s="46" t="s">
        <v>52</v>
      </c>
      <c r="C858" s="17" t="s">
        <v>1125</v>
      </c>
      <c r="D858" s="20">
        <v>38324.0</v>
      </c>
      <c r="E858" s="18" t="s">
        <v>74</v>
      </c>
      <c r="F858" s="18" t="s">
        <v>55</v>
      </c>
      <c r="G858" s="18" t="s">
        <v>1126</v>
      </c>
      <c r="H858" s="18" t="s">
        <v>1127</v>
      </c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48">
        <v>46188.0</v>
      </c>
      <c r="B859" s="46" t="s">
        <v>1128</v>
      </c>
      <c r="C859" s="17" t="s">
        <v>1129</v>
      </c>
      <c r="D859" s="20">
        <v>30317.0</v>
      </c>
      <c r="E859" s="18" t="s">
        <v>1130</v>
      </c>
      <c r="F859" s="18" t="s">
        <v>55</v>
      </c>
      <c r="G859" s="18" t="s">
        <v>526</v>
      </c>
      <c r="H859" s="49" t="s">
        <v>526</v>
      </c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48">
        <v>46188.0</v>
      </c>
      <c r="B860" s="46" t="s">
        <v>1128</v>
      </c>
      <c r="C860" s="17" t="s">
        <v>1131</v>
      </c>
      <c r="D860" s="20">
        <v>25944.0</v>
      </c>
      <c r="E860" s="18" t="s">
        <v>1130</v>
      </c>
      <c r="F860" s="18" t="s">
        <v>55</v>
      </c>
      <c r="G860" s="18" t="s">
        <v>526</v>
      </c>
      <c r="H860" s="18" t="s">
        <v>1132</v>
      </c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48">
        <v>46188.0</v>
      </c>
      <c r="B861" s="46" t="s">
        <v>1128</v>
      </c>
      <c r="C861" s="17" t="s">
        <v>1133</v>
      </c>
      <c r="D861" s="20">
        <v>27744.0</v>
      </c>
      <c r="E861" s="18" t="s">
        <v>1130</v>
      </c>
      <c r="F861" s="18" t="s">
        <v>55</v>
      </c>
      <c r="G861" s="18" t="s">
        <v>526</v>
      </c>
      <c r="H861" s="18" t="s">
        <v>1134</v>
      </c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48">
        <v>46188.0</v>
      </c>
      <c r="B862" s="46" t="s">
        <v>1128</v>
      </c>
      <c r="C862" s="17" t="s">
        <v>1135</v>
      </c>
      <c r="D862" s="20">
        <v>32096.0</v>
      </c>
      <c r="E862" s="18" t="s">
        <v>1130</v>
      </c>
      <c r="F862" s="18" t="s">
        <v>55</v>
      </c>
      <c r="G862" s="18" t="s">
        <v>526</v>
      </c>
      <c r="H862" s="18" t="s">
        <v>1136</v>
      </c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6">
        <v>46188.0</v>
      </c>
      <c r="B863" s="17" t="s">
        <v>1137</v>
      </c>
      <c r="C863" s="17" t="s">
        <v>1138</v>
      </c>
      <c r="D863" s="20">
        <v>37299.0</v>
      </c>
      <c r="E863" s="7" t="s">
        <v>9</v>
      </c>
      <c r="F863" s="18" t="s">
        <v>55</v>
      </c>
      <c r="G863" s="18">
        <v>3.053182167E9</v>
      </c>
      <c r="H863" s="18" t="s">
        <v>1139</v>
      </c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6">
        <v>46188.0</v>
      </c>
      <c r="B864" s="17" t="s">
        <v>1137</v>
      </c>
      <c r="C864" s="17" t="s">
        <v>1140</v>
      </c>
      <c r="D864" s="20">
        <v>37346.0</v>
      </c>
      <c r="E864" s="7" t="s">
        <v>9</v>
      </c>
      <c r="F864" s="18" t="s">
        <v>55</v>
      </c>
      <c r="G864" s="18">
        <v>8.135312471E9</v>
      </c>
      <c r="H864" s="18" t="s">
        <v>1141</v>
      </c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6">
        <v>46188.0</v>
      </c>
      <c r="B865" s="17" t="s">
        <v>1137</v>
      </c>
      <c r="C865" s="17" t="s">
        <v>1142</v>
      </c>
      <c r="D865" s="20">
        <v>34009.0</v>
      </c>
      <c r="E865" s="7" t="s">
        <v>9</v>
      </c>
      <c r="F865" s="18" t="s">
        <v>55</v>
      </c>
      <c r="G865" s="18">
        <v>8.133182701E9</v>
      </c>
      <c r="H865" s="18" t="s">
        <v>1143</v>
      </c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6">
        <v>46188.0</v>
      </c>
      <c r="B866" s="17" t="s">
        <v>1137</v>
      </c>
      <c r="C866" s="17" t="s">
        <v>1144</v>
      </c>
      <c r="D866" s="20">
        <v>34496.0</v>
      </c>
      <c r="E866" s="7" t="s">
        <v>9</v>
      </c>
      <c r="F866" s="18" t="s">
        <v>55</v>
      </c>
      <c r="G866" s="18">
        <v>8.132942001E9</v>
      </c>
      <c r="H866" s="18" t="s">
        <v>1145</v>
      </c>
      <c r="I866" s="32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6">
        <v>46188.0</v>
      </c>
      <c r="B867" s="17" t="s">
        <v>1137</v>
      </c>
      <c r="C867" s="17" t="s">
        <v>1146</v>
      </c>
      <c r="D867" s="20">
        <v>26271.0</v>
      </c>
      <c r="E867" s="7" t="s">
        <v>9</v>
      </c>
      <c r="F867" s="18" t="s">
        <v>55</v>
      </c>
      <c r="G867" s="18">
        <v>7.863993447E9</v>
      </c>
      <c r="H867" s="18" t="s">
        <v>1145</v>
      </c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6">
        <v>46188.0</v>
      </c>
      <c r="B868" s="17" t="s">
        <v>1137</v>
      </c>
      <c r="C868" s="17" t="s">
        <v>1147</v>
      </c>
      <c r="D868" s="23">
        <v>28109.0</v>
      </c>
      <c r="E868" s="7" t="s">
        <v>9</v>
      </c>
      <c r="F868" s="18" t="s">
        <v>55</v>
      </c>
      <c r="G868" s="18">
        <v>7.869150378E9</v>
      </c>
      <c r="H868" s="18" t="s">
        <v>1145</v>
      </c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6">
        <v>46188.0</v>
      </c>
      <c r="B869" s="17" t="s">
        <v>1137</v>
      </c>
      <c r="C869" s="17" t="s">
        <v>1148</v>
      </c>
      <c r="D869" s="20">
        <v>33367.0</v>
      </c>
      <c r="E869" s="7" t="s">
        <v>9</v>
      </c>
      <c r="F869" s="18" t="s">
        <v>55</v>
      </c>
      <c r="G869" s="18">
        <v>7.864198115E9</v>
      </c>
      <c r="H869" s="18" t="s">
        <v>1149</v>
      </c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6">
        <v>46188.0</v>
      </c>
      <c r="B870" s="17" t="s">
        <v>1137</v>
      </c>
      <c r="C870" s="17" t="s">
        <v>1150</v>
      </c>
      <c r="D870" s="20">
        <v>31298.0</v>
      </c>
      <c r="E870" s="7" t="s">
        <v>9</v>
      </c>
      <c r="F870" s="18" t="s">
        <v>55</v>
      </c>
      <c r="G870" s="18">
        <v>2.398494368E9</v>
      </c>
      <c r="H870" s="18" t="s">
        <v>1149</v>
      </c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6">
        <v>46188.0</v>
      </c>
      <c r="B871" s="17" t="s">
        <v>1137</v>
      </c>
      <c r="C871" s="17" t="s">
        <v>1151</v>
      </c>
      <c r="D871" s="23">
        <v>35367.0</v>
      </c>
      <c r="E871" s="7" t="s">
        <v>9</v>
      </c>
      <c r="F871" s="18" t="s">
        <v>55</v>
      </c>
      <c r="G871" s="18" t="s">
        <v>1152</v>
      </c>
      <c r="H871" s="18" t="s">
        <v>1149</v>
      </c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0">
        <v>46189.0</v>
      </c>
      <c r="B872" s="46" t="s">
        <v>352</v>
      </c>
      <c r="C872" s="17" t="s">
        <v>1153</v>
      </c>
      <c r="D872" s="20">
        <v>33908.0</v>
      </c>
      <c r="E872" s="18" t="s">
        <v>722</v>
      </c>
      <c r="F872" s="18" t="s">
        <v>55</v>
      </c>
      <c r="G872" s="18" t="s">
        <v>1154</v>
      </c>
      <c r="H872" s="18" t="s">
        <v>1155</v>
      </c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6">
        <v>46189.0</v>
      </c>
      <c r="B873" s="46" t="s">
        <v>352</v>
      </c>
      <c r="C873" s="17" t="s">
        <v>1156</v>
      </c>
      <c r="D873" s="20">
        <v>32966.0</v>
      </c>
      <c r="E873" s="18" t="s">
        <v>722</v>
      </c>
      <c r="F873" s="18" t="s">
        <v>55</v>
      </c>
      <c r="G873" s="18" t="s">
        <v>1157</v>
      </c>
      <c r="H873" s="18" t="s">
        <v>1158</v>
      </c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6">
        <v>46189.0</v>
      </c>
      <c r="B874" s="46" t="s">
        <v>352</v>
      </c>
      <c r="C874" s="17" t="s">
        <v>1159</v>
      </c>
      <c r="D874" s="20">
        <v>32689.0</v>
      </c>
      <c r="E874" s="18" t="s">
        <v>722</v>
      </c>
      <c r="F874" s="18" t="s">
        <v>55</v>
      </c>
      <c r="G874" s="18" t="s">
        <v>1160</v>
      </c>
      <c r="H874" s="18" t="s">
        <v>1161</v>
      </c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6">
        <v>46189.0</v>
      </c>
      <c r="B875" s="46" t="s">
        <v>352</v>
      </c>
      <c r="C875" s="17" t="s">
        <v>1162</v>
      </c>
      <c r="D875" s="20">
        <v>25100.0</v>
      </c>
      <c r="E875" s="18" t="s">
        <v>722</v>
      </c>
      <c r="F875" s="18" t="s">
        <v>55</v>
      </c>
      <c r="G875" s="18" t="s">
        <v>1163</v>
      </c>
      <c r="H875" s="18" t="s">
        <v>1164</v>
      </c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6">
        <v>46189.0</v>
      </c>
      <c r="B876" s="46" t="s">
        <v>352</v>
      </c>
      <c r="C876" s="17" t="s">
        <v>1165</v>
      </c>
      <c r="D876" s="20">
        <v>34310.0</v>
      </c>
      <c r="E876" s="18" t="s">
        <v>722</v>
      </c>
      <c r="F876" s="18" t="s">
        <v>55</v>
      </c>
      <c r="G876" s="18" t="s">
        <v>1166</v>
      </c>
      <c r="H876" s="18" t="s">
        <v>1167</v>
      </c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6">
        <v>46189.0</v>
      </c>
      <c r="B877" s="46" t="s">
        <v>52</v>
      </c>
      <c r="C877" s="17" t="s">
        <v>1168</v>
      </c>
      <c r="D877" s="20">
        <v>36059.0</v>
      </c>
      <c r="E877" s="18" t="s">
        <v>722</v>
      </c>
      <c r="F877" s="18" t="s">
        <v>55</v>
      </c>
      <c r="G877" s="18" t="s">
        <v>1169</v>
      </c>
      <c r="H877" s="18" t="s">
        <v>1170</v>
      </c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6">
        <v>46189.0</v>
      </c>
      <c r="B878" s="46" t="s">
        <v>52</v>
      </c>
      <c r="C878" s="17" t="s">
        <v>1171</v>
      </c>
      <c r="D878" s="20">
        <v>36041.0</v>
      </c>
      <c r="E878" s="18" t="s">
        <v>722</v>
      </c>
      <c r="F878" s="18" t="s">
        <v>55</v>
      </c>
      <c r="G878" s="18" t="s">
        <v>1172</v>
      </c>
      <c r="H878" s="18" t="s">
        <v>1173</v>
      </c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6">
        <v>46189.0</v>
      </c>
      <c r="B879" s="46" t="s">
        <v>52</v>
      </c>
      <c r="C879" s="17" t="s">
        <v>1174</v>
      </c>
      <c r="D879" s="20">
        <v>24390.0</v>
      </c>
      <c r="E879" s="18" t="s">
        <v>722</v>
      </c>
      <c r="F879" s="18" t="s">
        <v>55</v>
      </c>
      <c r="G879" s="18">
        <v>7.868357112E9</v>
      </c>
      <c r="H879" s="18" t="s">
        <v>1175</v>
      </c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6">
        <v>46189.0</v>
      </c>
      <c r="B880" s="46" t="s">
        <v>52</v>
      </c>
      <c r="C880" s="17" t="s">
        <v>1176</v>
      </c>
      <c r="D880" s="20">
        <v>30106.0</v>
      </c>
      <c r="E880" s="18" t="s">
        <v>722</v>
      </c>
      <c r="F880" s="18" t="s">
        <v>55</v>
      </c>
      <c r="G880" s="18">
        <v>7.862238597E9</v>
      </c>
      <c r="H880" s="18" t="s">
        <v>1177</v>
      </c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6">
        <v>46189.0</v>
      </c>
      <c r="B881" s="46" t="s">
        <v>52</v>
      </c>
      <c r="C881" s="17" t="s">
        <v>1178</v>
      </c>
      <c r="D881" s="20">
        <v>30262.0</v>
      </c>
      <c r="E881" s="18" t="s">
        <v>722</v>
      </c>
      <c r="F881" s="18" t="s">
        <v>55</v>
      </c>
      <c r="G881" s="18">
        <v>7.542095545E9</v>
      </c>
      <c r="H881" s="18" t="s">
        <v>1179</v>
      </c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6">
        <v>46189.0</v>
      </c>
      <c r="B882" s="46" t="s">
        <v>352</v>
      </c>
      <c r="C882" s="17" t="s">
        <v>1180</v>
      </c>
      <c r="D882" s="20">
        <v>23479.0</v>
      </c>
      <c r="E882" s="18" t="s">
        <v>74</v>
      </c>
      <c r="F882" s="18" t="s">
        <v>55</v>
      </c>
      <c r="G882" s="18">
        <v>7.868250238E9</v>
      </c>
      <c r="H882" s="49" t="s">
        <v>1181</v>
      </c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6">
        <v>46189.0</v>
      </c>
      <c r="B883" s="46" t="s">
        <v>352</v>
      </c>
      <c r="C883" s="17" t="s">
        <v>1182</v>
      </c>
      <c r="D883" s="20">
        <v>32089.0</v>
      </c>
      <c r="E883" s="18" t="s">
        <v>74</v>
      </c>
      <c r="F883" s="18" t="s">
        <v>55</v>
      </c>
      <c r="G883" s="18">
        <v>7.54261113E9</v>
      </c>
      <c r="H883" s="49" t="s">
        <v>1181</v>
      </c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6">
        <v>46189.0</v>
      </c>
      <c r="B884" s="46" t="s">
        <v>352</v>
      </c>
      <c r="C884" s="17" t="s">
        <v>1183</v>
      </c>
      <c r="D884" s="23">
        <v>33168.0</v>
      </c>
      <c r="E884" s="18" t="s">
        <v>74</v>
      </c>
      <c r="F884" s="18" t="s">
        <v>55</v>
      </c>
      <c r="G884" s="18">
        <v>7.863423584E9</v>
      </c>
      <c r="H884" s="18" t="s">
        <v>1184</v>
      </c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6">
        <v>46189.0</v>
      </c>
      <c r="B885" s="46" t="s">
        <v>352</v>
      </c>
      <c r="C885" s="17" t="s">
        <v>1185</v>
      </c>
      <c r="D885" s="23">
        <v>29541.0</v>
      </c>
      <c r="E885" s="18" t="s">
        <v>74</v>
      </c>
      <c r="F885" s="18" t="s">
        <v>55</v>
      </c>
      <c r="G885" s="18">
        <v>7.86209874E9</v>
      </c>
      <c r="H885" s="18" t="s">
        <v>1186</v>
      </c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6">
        <v>46189.0</v>
      </c>
      <c r="B886" s="46" t="s">
        <v>352</v>
      </c>
      <c r="C886" s="17" t="s">
        <v>1187</v>
      </c>
      <c r="D886" s="20">
        <v>36940.0</v>
      </c>
      <c r="E886" s="18" t="s">
        <v>74</v>
      </c>
      <c r="F886" s="18" t="s">
        <v>55</v>
      </c>
      <c r="G886" s="18">
        <v>7.869254654E9</v>
      </c>
      <c r="H886" s="49" t="s">
        <v>1188</v>
      </c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6">
        <v>46189.0</v>
      </c>
      <c r="B887" s="46" t="s">
        <v>352</v>
      </c>
      <c r="C887" s="17" t="s">
        <v>1189</v>
      </c>
      <c r="D887" s="20">
        <v>33469.0</v>
      </c>
      <c r="E887" s="18" t="s">
        <v>74</v>
      </c>
      <c r="F887" s="18" t="s">
        <v>55</v>
      </c>
      <c r="G887" s="18">
        <v>7.863423584E9</v>
      </c>
      <c r="H887" s="18" t="s">
        <v>1190</v>
      </c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6">
        <v>46189.0</v>
      </c>
      <c r="B888" s="46" t="s">
        <v>52</v>
      </c>
      <c r="C888" s="17" t="s">
        <v>1191</v>
      </c>
      <c r="D888" s="20">
        <v>36928.0</v>
      </c>
      <c r="E888" s="18" t="s">
        <v>74</v>
      </c>
      <c r="F888" s="18" t="s">
        <v>55</v>
      </c>
      <c r="G888" s="18">
        <v>7.869191455E9</v>
      </c>
      <c r="H888" s="18" t="s">
        <v>1192</v>
      </c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6">
        <v>46189.0</v>
      </c>
      <c r="B889" s="46" t="s">
        <v>52</v>
      </c>
      <c r="C889" s="17" t="s">
        <v>1193</v>
      </c>
      <c r="D889" s="20">
        <v>37259.0</v>
      </c>
      <c r="E889" s="18" t="s">
        <v>74</v>
      </c>
      <c r="F889" s="18" t="s">
        <v>55</v>
      </c>
      <c r="G889" s="18">
        <v>7.865981628E9</v>
      </c>
      <c r="H889" s="18" t="s">
        <v>1192</v>
      </c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6">
        <v>46189.0</v>
      </c>
      <c r="B890" s="46" t="s">
        <v>52</v>
      </c>
      <c r="C890" s="17" t="s">
        <v>1194</v>
      </c>
      <c r="D890" s="23">
        <v>38648.0</v>
      </c>
      <c r="E890" s="18" t="s">
        <v>81</v>
      </c>
      <c r="F890" s="18" t="s">
        <v>55</v>
      </c>
      <c r="G890" s="18">
        <v>2.392099617E9</v>
      </c>
      <c r="H890" s="18" t="s">
        <v>1195</v>
      </c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6">
        <v>46189.0</v>
      </c>
      <c r="B891" s="46" t="s">
        <v>52</v>
      </c>
      <c r="C891" s="17" t="s">
        <v>1196</v>
      </c>
      <c r="D891" s="23">
        <v>32832.0</v>
      </c>
      <c r="E891" s="18" t="s">
        <v>81</v>
      </c>
      <c r="F891" s="18" t="s">
        <v>55</v>
      </c>
      <c r="G891" s="18">
        <v>7.862010692E9</v>
      </c>
      <c r="H891" s="18" t="s">
        <v>1197</v>
      </c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6">
        <v>46189.0</v>
      </c>
      <c r="B892" s="46" t="s">
        <v>52</v>
      </c>
      <c r="C892" s="17" t="s">
        <v>1198</v>
      </c>
      <c r="D892" s="23">
        <v>39080.0</v>
      </c>
      <c r="E892" s="18" t="s">
        <v>81</v>
      </c>
      <c r="F892" s="18" t="s">
        <v>55</v>
      </c>
      <c r="G892" s="18">
        <v>7.865835062E9</v>
      </c>
      <c r="H892" s="18" t="s">
        <v>1199</v>
      </c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6">
        <v>46189.0</v>
      </c>
      <c r="B893" s="46" t="s">
        <v>52</v>
      </c>
      <c r="C893" s="17" t="s">
        <v>1200</v>
      </c>
      <c r="D893" s="23">
        <v>33198.0</v>
      </c>
      <c r="E893" s="18" t="s">
        <v>81</v>
      </c>
      <c r="F893" s="18" t="s">
        <v>55</v>
      </c>
      <c r="G893" s="18">
        <v>7.862559155E9</v>
      </c>
      <c r="H893" s="18" t="s">
        <v>1201</v>
      </c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6">
        <v>46189.0</v>
      </c>
      <c r="B894" s="46" t="s">
        <v>52</v>
      </c>
      <c r="C894" s="17" t="s">
        <v>1202</v>
      </c>
      <c r="D894" s="20">
        <v>35964.0</v>
      </c>
      <c r="E894" s="18" t="s">
        <v>81</v>
      </c>
      <c r="F894" s="18" t="s">
        <v>55</v>
      </c>
      <c r="G894" s="18">
        <v>7.867344186E9</v>
      </c>
      <c r="H894" s="18" t="s">
        <v>1203</v>
      </c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0">
        <v>46189.0</v>
      </c>
      <c r="B895" s="17" t="s">
        <v>526</v>
      </c>
      <c r="C895" s="9" t="s">
        <v>1204</v>
      </c>
      <c r="D895" s="6">
        <v>36234.0</v>
      </c>
      <c r="E895" s="9" t="s">
        <v>769</v>
      </c>
      <c r="F895" s="9" t="s">
        <v>55</v>
      </c>
      <c r="G895" s="9">
        <v>7.864511807E9</v>
      </c>
      <c r="H895" s="9" t="s">
        <v>1205</v>
      </c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6">
        <v>46189.0</v>
      </c>
      <c r="B896" s="17" t="s">
        <v>1137</v>
      </c>
      <c r="C896" s="17" t="s">
        <v>1206</v>
      </c>
      <c r="D896" s="20">
        <v>36062.0</v>
      </c>
      <c r="E896" s="7" t="s">
        <v>9</v>
      </c>
      <c r="F896" s="18" t="s">
        <v>55</v>
      </c>
      <c r="G896" s="18">
        <v>7.864179426E9</v>
      </c>
      <c r="H896" s="18" t="s">
        <v>1207</v>
      </c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6">
        <v>46189.0</v>
      </c>
      <c r="B897" s="17" t="s">
        <v>1137</v>
      </c>
      <c r="C897" s="17" t="s">
        <v>1208</v>
      </c>
      <c r="D897" s="23">
        <v>23325.0</v>
      </c>
      <c r="E897" s="7" t="s">
        <v>9</v>
      </c>
      <c r="F897" s="18" t="s">
        <v>55</v>
      </c>
      <c r="G897" s="18" t="s">
        <v>1209</v>
      </c>
      <c r="H897" s="18" t="s">
        <v>1207</v>
      </c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6">
        <v>46189.0</v>
      </c>
      <c r="B898" s="17" t="s">
        <v>1137</v>
      </c>
      <c r="C898" s="17" t="s">
        <v>1210</v>
      </c>
      <c r="D898" s="20">
        <v>37038.0</v>
      </c>
      <c r="E898" s="7" t="s">
        <v>9</v>
      </c>
      <c r="F898" s="18" t="s">
        <v>55</v>
      </c>
      <c r="G898" s="18" t="s">
        <v>1211</v>
      </c>
      <c r="H898" s="18" t="s">
        <v>1207</v>
      </c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6">
        <v>46189.0</v>
      </c>
      <c r="B899" s="17" t="s">
        <v>1137</v>
      </c>
      <c r="C899" s="17" t="s">
        <v>1212</v>
      </c>
      <c r="D899" s="20">
        <v>29756.0</v>
      </c>
      <c r="E899" s="7" t="s">
        <v>9</v>
      </c>
      <c r="F899" s="18" t="s">
        <v>55</v>
      </c>
      <c r="G899" s="9" t="s">
        <v>1213</v>
      </c>
      <c r="H899" s="18" t="s">
        <v>1214</v>
      </c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6">
        <v>46189.0</v>
      </c>
      <c r="B900" s="17" t="s">
        <v>1137</v>
      </c>
      <c r="C900" s="17" t="s">
        <v>1215</v>
      </c>
      <c r="D900" s="20">
        <v>30177.0</v>
      </c>
      <c r="E900" s="7" t="s">
        <v>9</v>
      </c>
      <c r="F900" s="18" t="s">
        <v>55</v>
      </c>
      <c r="G900" s="18" t="s">
        <v>1216</v>
      </c>
      <c r="H900" s="18" t="s">
        <v>1217</v>
      </c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6">
        <v>46189.0</v>
      </c>
      <c r="B901" s="17" t="s">
        <v>1137</v>
      </c>
      <c r="C901" s="17" t="s">
        <v>1218</v>
      </c>
      <c r="D901" s="20">
        <v>30223.0</v>
      </c>
      <c r="E901" s="7" t="s">
        <v>9</v>
      </c>
      <c r="F901" s="18" t="s">
        <v>55</v>
      </c>
      <c r="G901" s="18" t="s">
        <v>1219</v>
      </c>
      <c r="H901" s="18" t="s">
        <v>1220</v>
      </c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6">
        <v>46189.0</v>
      </c>
      <c r="B902" s="17" t="s">
        <v>1137</v>
      </c>
      <c r="C902" s="17" t="s">
        <v>1221</v>
      </c>
      <c r="D902" s="20">
        <v>37093.0</v>
      </c>
      <c r="E902" s="7" t="s">
        <v>9</v>
      </c>
      <c r="F902" s="18" t="s">
        <v>55</v>
      </c>
      <c r="G902" s="18">
        <v>8.133752053E9</v>
      </c>
      <c r="H902" s="18" t="s">
        <v>1222</v>
      </c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6">
        <v>46189.0</v>
      </c>
      <c r="B903" s="17" t="s">
        <v>1137</v>
      </c>
      <c r="C903" s="17" t="s">
        <v>1223</v>
      </c>
      <c r="D903" s="20">
        <v>26114.0</v>
      </c>
      <c r="E903" s="7" t="s">
        <v>9</v>
      </c>
      <c r="F903" s="18" t="s">
        <v>55</v>
      </c>
      <c r="G903" s="18" t="s">
        <v>1224</v>
      </c>
      <c r="H903" s="18" t="s">
        <v>1222</v>
      </c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6">
        <v>46189.0</v>
      </c>
      <c r="B904" s="17" t="s">
        <v>1137</v>
      </c>
      <c r="C904" s="17" t="s">
        <v>1225</v>
      </c>
      <c r="D904" s="20">
        <v>30354.0</v>
      </c>
      <c r="E904" s="7" t="s">
        <v>9</v>
      </c>
      <c r="F904" s="18" t="s">
        <v>55</v>
      </c>
      <c r="G904" s="18">
        <v>3.21946222E9</v>
      </c>
      <c r="H904" s="18" t="s">
        <v>1226</v>
      </c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6">
        <v>46189.0</v>
      </c>
      <c r="B905" s="17" t="s">
        <v>1137</v>
      </c>
      <c r="C905" s="17" t="s">
        <v>1227</v>
      </c>
      <c r="D905" s="20">
        <v>28348.0</v>
      </c>
      <c r="E905" s="7" t="s">
        <v>9</v>
      </c>
      <c r="F905" s="18" t="s">
        <v>55</v>
      </c>
      <c r="G905" s="18" t="s">
        <v>1228</v>
      </c>
      <c r="H905" s="18" t="s">
        <v>1229</v>
      </c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6">
        <v>46189.0</v>
      </c>
      <c r="B906" s="17" t="s">
        <v>1137</v>
      </c>
      <c r="C906" s="17" t="s">
        <v>1230</v>
      </c>
      <c r="D906" s="20">
        <v>28764.0</v>
      </c>
      <c r="E906" s="7" t="s">
        <v>9</v>
      </c>
      <c r="F906" s="18" t="s">
        <v>55</v>
      </c>
      <c r="G906" s="18" t="s">
        <v>1231</v>
      </c>
      <c r="H906" s="18" t="s">
        <v>1229</v>
      </c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1">
        <v>46189.0</v>
      </c>
      <c r="B907" s="52" t="s">
        <v>1137</v>
      </c>
      <c r="C907" s="52" t="s">
        <v>1232</v>
      </c>
      <c r="D907" s="53"/>
      <c r="E907" s="52" t="s">
        <v>1233</v>
      </c>
      <c r="F907" s="18" t="s">
        <v>55</v>
      </c>
      <c r="G907" s="52">
        <v>8.135311939E9</v>
      </c>
      <c r="H907" s="18" t="s">
        <v>1234</v>
      </c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1">
        <v>46189.0</v>
      </c>
      <c r="B908" s="52" t="s">
        <v>1137</v>
      </c>
      <c r="C908" s="52" t="s">
        <v>1235</v>
      </c>
      <c r="D908" s="53"/>
      <c r="E908" s="52" t="s">
        <v>1233</v>
      </c>
      <c r="F908" s="18" t="s">
        <v>55</v>
      </c>
      <c r="G908" s="52" t="s">
        <v>1236</v>
      </c>
      <c r="H908" s="18" t="s">
        <v>1237</v>
      </c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1">
        <v>46189.0</v>
      </c>
      <c r="B909" s="52" t="s">
        <v>1137</v>
      </c>
      <c r="C909" s="52" t="s">
        <v>1238</v>
      </c>
      <c r="D909" s="53"/>
      <c r="E909" s="52" t="s">
        <v>1233</v>
      </c>
      <c r="F909" s="18" t="s">
        <v>55</v>
      </c>
      <c r="G909" s="52" t="s">
        <v>1239</v>
      </c>
      <c r="H909" s="18" t="s">
        <v>1240</v>
      </c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1">
        <v>46189.0</v>
      </c>
      <c r="B910" s="52" t="s">
        <v>1137</v>
      </c>
      <c r="C910" s="52" t="s">
        <v>1241</v>
      </c>
      <c r="D910" s="53"/>
      <c r="E910" s="52" t="s">
        <v>1233</v>
      </c>
      <c r="F910" s="18" t="s">
        <v>55</v>
      </c>
      <c r="G910" s="52">
        <v>8.134100413E9</v>
      </c>
      <c r="H910" s="18" t="s">
        <v>1242</v>
      </c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20">
        <v>46190.0</v>
      </c>
      <c r="B911" s="46" t="s">
        <v>52</v>
      </c>
      <c r="C911" s="17" t="s">
        <v>1243</v>
      </c>
      <c r="D911" s="20">
        <v>33483.0</v>
      </c>
      <c r="E911" s="18" t="s">
        <v>81</v>
      </c>
      <c r="F911" s="18" t="s">
        <v>55</v>
      </c>
      <c r="G911" s="18">
        <v>7.863481933E9</v>
      </c>
      <c r="H911" s="18" t="s">
        <v>1244</v>
      </c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20">
        <v>46190.0</v>
      </c>
      <c r="B912" s="46" t="s">
        <v>52</v>
      </c>
      <c r="C912" s="17" t="s">
        <v>1245</v>
      </c>
      <c r="D912" s="23">
        <v>33234.0</v>
      </c>
      <c r="E912" s="18" t="s">
        <v>81</v>
      </c>
      <c r="F912" s="18" t="s">
        <v>55</v>
      </c>
      <c r="G912" s="18" t="s">
        <v>1246</v>
      </c>
      <c r="H912" s="18" t="s">
        <v>1247</v>
      </c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20">
        <v>46190.0</v>
      </c>
      <c r="B913" s="46" t="s">
        <v>52</v>
      </c>
      <c r="C913" s="17" t="s">
        <v>1248</v>
      </c>
      <c r="D913" s="23">
        <v>25131.0</v>
      </c>
      <c r="E913" s="18" t="s">
        <v>81</v>
      </c>
      <c r="F913" s="18" t="s">
        <v>55</v>
      </c>
      <c r="G913" s="18" t="s">
        <v>1249</v>
      </c>
      <c r="H913" s="18" t="s">
        <v>1250</v>
      </c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20">
        <v>46190.0</v>
      </c>
      <c r="B914" s="46" t="s">
        <v>52</v>
      </c>
      <c r="C914" s="17" t="s">
        <v>1251</v>
      </c>
      <c r="D914" s="20">
        <v>34704.0</v>
      </c>
      <c r="E914" s="18" t="s">
        <v>81</v>
      </c>
      <c r="F914" s="18" t="s">
        <v>55</v>
      </c>
      <c r="G914" s="18" t="s">
        <v>1252</v>
      </c>
      <c r="H914" s="18" t="s">
        <v>1253</v>
      </c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20">
        <v>46190.0</v>
      </c>
      <c r="B915" s="46" t="s">
        <v>52</v>
      </c>
      <c r="C915" s="17" t="s">
        <v>1254</v>
      </c>
      <c r="D915" s="23">
        <v>36521.0</v>
      </c>
      <c r="E915" s="18" t="s">
        <v>81</v>
      </c>
      <c r="F915" s="18" t="s">
        <v>55</v>
      </c>
      <c r="G915" s="18" t="s">
        <v>1255</v>
      </c>
      <c r="H915" s="18" t="s">
        <v>1256</v>
      </c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20">
        <v>46190.0</v>
      </c>
      <c r="B916" s="46" t="s">
        <v>52</v>
      </c>
      <c r="C916" s="17" t="s">
        <v>1257</v>
      </c>
      <c r="D916" s="20">
        <v>30593.0</v>
      </c>
      <c r="E916" s="18" t="s">
        <v>769</v>
      </c>
      <c r="F916" s="18" t="s">
        <v>55</v>
      </c>
      <c r="G916" s="18" t="s">
        <v>1258</v>
      </c>
      <c r="H916" s="18" t="s">
        <v>1259</v>
      </c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20">
        <v>46190.0</v>
      </c>
      <c r="B917" s="46" t="s">
        <v>52</v>
      </c>
      <c r="C917" s="17" t="s">
        <v>1260</v>
      </c>
      <c r="D917" s="23">
        <v>32142.0</v>
      </c>
      <c r="E917" s="18" t="s">
        <v>769</v>
      </c>
      <c r="F917" s="18" t="s">
        <v>55</v>
      </c>
      <c r="G917" s="18" t="s">
        <v>1261</v>
      </c>
      <c r="H917" s="18" t="s">
        <v>1259</v>
      </c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20">
        <v>46190.0</v>
      </c>
      <c r="B918" s="46" t="s">
        <v>52</v>
      </c>
      <c r="C918" s="17" t="s">
        <v>1262</v>
      </c>
      <c r="D918" s="23">
        <v>39366.0</v>
      </c>
      <c r="E918" s="18" t="s">
        <v>769</v>
      </c>
      <c r="F918" s="18" t="s">
        <v>55</v>
      </c>
      <c r="G918" s="18" t="s">
        <v>1263</v>
      </c>
      <c r="H918" s="18" t="s">
        <v>1264</v>
      </c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20">
        <v>46190.0</v>
      </c>
      <c r="B919" s="46" t="s">
        <v>52</v>
      </c>
      <c r="C919" s="17" t="s">
        <v>1265</v>
      </c>
      <c r="D919" s="23">
        <v>36872.0</v>
      </c>
      <c r="E919" s="18" t="s">
        <v>769</v>
      </c>
      <c r="F919" s="18" t="s">
        <v>55</v>
      </c>
      <c r="G919" s="18" t="s">
        <v>1266</v>
      </c>
      <c r="H919" s="18" t="s">
        <v>1267</v>
      </c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20">
        <v>46190.0</v>
      </c>
      <c r="B920" s="46" t="s">
        <v>52</v>
      </c>
      <c r="C920" s="17" t="s">
        <v>1268</v>
      </c>
      <c r="D920" s="23">
        <v>27724.0</v>
      </c>
      <c r="E920" s="18" t="s">
        <v>769</v>
      </c>
      <c r="F920" s="18" t="s">
        <v>55</v>
      </c>
      <c r="G920" s="18" t="s">
        <v>1263</v>
      </c>
      <c r="H920" s="18" t="s">
        <v>1264</v>
      </c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20">
        <v>46190.0</v>
      </c>
      <c r="B921" s="17" t="s">
        <v>352</v>
      </c>
      <c r="C921" s="17" t="s">
        <v>1269</v>
      </c>
      <c r="D921" s="23">
        <v>22976.0</v>
      </c>
      <c r="E921" s="18" t="s">
        <v>74</v>
      </c>
      <c r="F921" s="18" t="s">
        <v>55</v>
      </c>
      <c r="G921" s="18" t="s">
        <v>1270</v>
      </c>
      <c r="H921" s="18" t="s">
        <v>1271</v>
      </c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20">
        <v>46190.0</v>
      </c>
      <c r="B922" s="17" t="s">
        <v>352</v>
      </c>
      <c r="C922" s="17" t="s">
        <v>1272</v>
      </c>
      <c r="D922" s="20">
        <v>35078.0</v>
      </c>
      <c r="E922" s="18" t="s">
        <v>74</v>
      </c>
      <c r="F922" s="18" t="s">
        <v>55</v>
      </c>
      <c r="G922" s="18" t="s">
        <v>1273</v>
      </c>
      <c r="H922" s="18" t="s">
        <v>1274</v>
      </c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20">
        <v>46190.0</v>
      </c>
      <c r="B923" s="17" t="s">
        <v>352</v>
      </c>
      <c r="C923" s="17" t="s">
        <v>1275</v>
      </c>
      <c r="D923" s="23">
        <v>34661.0</v>
      </c>
      <c r="E923" s="18" t="s">
        <v>74</v>
      </c>
      <c r="F923" s="18" t="s">
        <v>55</v>
      </c>
      <c r="G923" s="18" t="s">
        <v>1276</v>
      </c>
      <c r="H923" s="18" t="s">
        <v>1277</v>
      </c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20">
        <v>46190.0</v>
      </c>
      <c r="B924" s="17" t="s">
        <v>352</v>
      </c>
      <c r="C924" s="17" t="s">
        <v>1278</v>
      </c>
      <c r="D924" s="20">
        <v>22821.0</v>
      </c>
      <c r="E924" s="18" t="s">
        <v>54</v>
      </c>
      <c r="F924" s="18" t="s">
        <v>55</v>
      </c>
      <c r="G924" s="18" t="s">
        <v>1279</v>
      </c>
      <c r="H924" s="18" t="s">
        <v>1280</v>
      </c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20">
        <v>46190.0</v>
      </c>
      <c r="B925" s="17" t="s">
        <v>352</v>
      </c>
      <c r="C925" s="17" t="s">
        <v>1281</v>
      </c>
      <c r="D925" s="20">
        <v>30523.0</v>
      </c>
      <c r="E925" s="18" t="s">
        <v>54</v>
      </c>
      <c r="F925" s="18" t="s">
        <v>55</v>
      </c>
      <c r="G925" s="18" t="s">
        <v>1282</v>
      </c>
      <c r="H925" s="18" t="s">
        <v>1280</v>
      </c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20">
        <v>46190.0</v>
      </c>
      <c r="B926" s="17" t="s">
        <v>352</v>
      </c>
      <c r="C926" s="17" t="s">
        <v>1283</v>
      </c>
      <c r="D926" s="20">
        <v>25850.0</v>
      </c>
      <c r="E926" s="18" t="s">
        <v>54</v>
      </c>
      <c r="F926" s="18" t="s">
        <v>55</v>
      </c>
      <c r="G926" s="18" t="s">
        <v>1284</v>
      </c>
      <c r="H926" s="18" t="s">
        <v>1285</v>
      </c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20">
        <v>46190.0</v>
      </c>
      <c r="B927" s="17" t="s">
        <v>352</v>
      </c>
      <c r="C927" s="17" t="s">
        <v>1286</v>
      </c>
      <c r="D927" s="20">
        <v>22517.0</v>
      </c>
      <c r="E927" s="18" t="s">
        <v>54</v>
      </c>
      <c r="F927" s="18" t="s">
        <v>55</v>
      </c>
      <c r="G927" s="18" t="s">
        <v>1287</v>
      </c>
      <c r="H927" s="18" t="s">
        <v>1288</v>
      </c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20">
        <v>46190.0</v>
      </c>
      <c r="B928" s="17" t="s">
        <v>352</v>
      </c>
      <c r="C928" s="17" t="s">
        <v>1289</v>
      </c>
      <c r="D928" s="20">
        <v>30870.0</v>
      </c>
      <c r="E928" s="18" t="s">
        <v>54</v>
      </c>
      <c r="F928" s="18" t="s">
        <v>55</v>
      </c>
      <c r="G928" s="18" t="s">
        <v>1290</v>
      </c>
      <c r="H928" s="18" t="s">
        <v>1280</v>
      </c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20">
        <v>46190.0</v>
      </c>
      <c r="B929" s="17" t="s">
        <v>352</v>
      </c>
      <c r="C929" s="17" t="s">
        <v>1291</v>
      </c>
      <c r="D929" s="20">
        <v>35956.0</v>
      </c>
      <c r="E929" s="18" t="s">
        <v>54</v>
      </c>
      <c r="F929" s="18" t="s">
        <v>55</v>
      </c>
      <c r="G929" s="18" t="s">
        <v>1292</v>
      </c>
      <c r="H929" s="18" t="s">
        <v>1293</v>
      </c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20">
        <v>46190.0</v>
      </c>
      <c r="B930" s="17" t="s">
        <v>352</v>
      </c>
      <c r="C930" s="17" t="s">
        <v>1294</v>
      </c>
      <c r="D930" s="20">
        <v>34138.0</v>
      </c>
      <c r="E930" s="18" t="s">
        <v>54</v>
      </c>
      <c r="F930" s="18" t="s">
        <v>55</v>
      </c>
      <c r="G930" s="18" t="s">
        <v>1295</v>
      </c>
      <c r="H930" s="18" t="s">
        <v>1296</v>
      </c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20">
        <v>46190.0</v>
      </c>
      <c r="B931" s="17" t="s">
        <v>1297</v>
      </c>
      <c r="C931" s="17" t="s">
        <v>1298</v>
      </c>
      <c r="D931" s="20">
        <v>34875.0</v>
      </c>
      <c r="E931" s="18" t="s">
        <v>54</v>
      </c>
      <c r="F931" s="18" t="s">
        <v>55</v>
      </c>
      <c r="G931" s="18" t="s">
        <v>1299</v>
      </c>
      <c r="H931" s="18" t="s">
        <v>1300</v>
      </c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20">
        <v>46190.0</v>
      </c>
      <c r="B932" s="17" t="s">
        <v>1297</v>
      </c>
      <c r="C932" s="17" t="s">
        <v>1301</v>
      </c>
      <c r="D932" s="20">
        <v>27098.0</v>
      </c>
      <c r="E932" s="18" t="s">
        <v>54</v>
      </c>
      <c r="F932" s="18" t="s">
        <v>55</v>
      </c>
      <c r="G932" s="18" t="s">
        <v>1302</v>
      </c>
      <c r="H932" s="18" t="s">
        <v>1303</v>
      </c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20">
        <v>46190.0</v>
      </c>
      <c r="B933" s="17" t="s">
        <v>1297</v>
      </c>
      <c r="C933" s="17" t="s">
        <v>1304</v>
      </c>
      <c r="D933" s="20">
        <v>26563.0</v>
      </c>
      <c r="E933" s="18" t="s">
        <v>54</v>
      </c>
      <c r="F933" s="18" t="s">
        <v>55</v>
      </c>
      <c r="G933" s="18" t="s">
        <v>1305</v>
      </c>
      <c r="H933" s="18" t="s">
        <v>1306</v>
      </c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20">
        <v>46190.0</v>
      </c>
      <c r="B934" s="52" t="s">
        <v>1137</v>
      </c>
      <c r="C934" s="17" t="s">
        <v>1307</v>
      </c>
      <c r="D934" s="23">
        <v>30599.0</v>
      </c>
      <c r="E934" s="18" t="s">
        <v>1130</v>
      </c>
      <c r="F934" s="18" t="s">
        <v>1308</v>
      </c>
      <c r="G934" s="18" t="s">
        <v>1309</v>
      </c>
      <c r="H934" s="18" t="s">
        <v>1310</v>
      </c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20">
        <v>46190.0</v>
      </c>
      <c r="B935" s="52" t="s">
        <v>1137</v>
      </c>
      <c r="C935" s="17" t="s">
        <v>1311</v>
      </c>
      <c r="D935" s="23">
        <v>37582.0</v>
      </c>
      <c r="E935" s="18" t="s">
        <v>9</v>
      </c>
      <c r="F935" s="18" t="s">
        <v>1308</v>
      </c>
      <c r="G935" s="18" t="s">
        <v>1312</v>
      </c>
      <c r="H935" s="18" t="s">
        <v>1313</v>
      </c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20">
        <v>46190.0</v>
      </c>
      <c r="B936" s="52" t="s">
        <v>1137</v>
      </c>
      <c r="C936" s="17" t="s">
        <v>1314</v>
      </c>
      <c r="D936" s="20">
        <v>36563.0</v>
      </c>
      <c r="E936" s="18" t="s">
        <v>9</v>
      </c>
      <c r="F936" s="18" t="s">
        <v>1308</v>
      </c>
      <c r="G936" s="18" t="s">
        <v>1315</v>
      </c>
      <c r="H936" s="18" t="s">
        <v>1316</v>
      </c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20">
        <v>46190.0</v>
      </c>
      <c r="B937" s="52" t="s">
        <v>1137</v>
      </c>
      <c r="C937" s="17" t="s">
        <v>1317</v>
      </c>
      <c r="D937" s="20">
        <v>36294.0</v>
      </c>
      <c r="E937" s="18" t="s">
        <v>9</v>
      </c>
      <c r="F937" s="18" t="s">
        <v>1308</v>
      </c>
      <c r="G937" s="18" t="s">
        <v>1318</v>
      </c>
      <c r="H937" s="18" t="s">
        <v>1319</v>
      </c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20">
        <v>46190.0</v>
      </c>
      <c r="B938" s="52" t="s">
        <v>1137</v>
      </c>
      <c r="C938" s="17" t="s">
        <v>1320</v>
      </c>
      <c r="D938" s="20">
        <v>29394.0</v>
      </c>
      <c r="E938" s="18" t="s">
        <v>9</v>
      </c>
      <c r="F938" s="18" t="s">
        <v>1308</v>
      </c>
      <c r="G938" s="18" t="s">
        <v>1321</v>
      </c>
      <c r="H938" s="18" t="s">
        <v>1322</v>
      </c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20">
        <v>46190.0</v>
      </c>
      <c r="B939" s="52" t="s">
        <v>1137</v>
      </c>
      <c r="C939" s="17" t="s">
        <v>1323</v>
      </c>
      <c r="D939" s="20">
        <v>31153.0</v>
      </c>
      <c r="E939" s="18" t="s">
        <v>9</v>
      </c>
      <c r="F939" s="18" t="s">
        <v>1308</v>
      </c>
      <c r="G939" s="18" t="s">
        <v>1324</v>
      </c>
      <c r="H939" s="18" t="s">
        <v>1322</v>
      </c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20">
        <v>46190.0</v>
      </c>
      <c r="B940" s="52" t="s">
        <v>1137</v>
      </c>
      <c r="C940" s="17" t="s">
        <v>1325</v>
      </c>
      <c r="D940" s="20">
        <v>25246.0</v>
      </c>
      <c r="E940" s="18" t="s">
        <v>9</v>
      </c>
      <c r="F940" s="18" t="s">
        <v>1308</v>
      </c>
      <c r="G940" s="18" t="s">
        <v>1326</v>
      </c>
      <c r="H940" s="18" t="s">
        <v>1327</v>
      </c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20">
        <v>46190.0</v>
      </c>
      <c r="B941" s="52" t="s">
        <v>1137</v>
      </c>
      <c r="C941" s="17" t="s">
        <v>1328</v>
      </c>
      <c r="D941" s="20">
        <v>29384.0</v>
      </c>
      <c r="E941" s="18" t="s">
        <v>9</v>
      </c>
      <c r="F941" s="18" t="s">
        <v>1308</v>
      </c>
      <c r="G941" s="18" t="s">
        <v>1329</v>
      </c>
      <c r="H941" s="18" t="s">
        <v>1327</v>
      </c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20">
        <v>46190.0</v>
      </c>
      <c r="B942" s="52" t="s">
        <v>1137</v>
      </c>
      <c r="C942" s="17" t="s">
        <v>1330</v>
      </c>
      <c r="D942" s="20">
        <v>37659.0</v>
      </c>
      <c r="E942" s="18" t="s">
        <v>9</v>
      </c>
      <c r="F942" s="18" t="s">
        <v>1308</v>
      </c>
      <c r="G942" s="18" t="s">
        <v>1331</v>
      </c>
      <c r="H942" s="18" t="s">
        <v>1332</v>
      </c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38">
        <v>46191.0</v>
      </c>
      <c r="B943" s="17" t="s">
        <v>352</v>
      </c>
      <c r="C943" s="17" t="s">
        <v>1333</v>
      </c>
      <c r="D943" s="20">
        <v>32085.0</v>
      </c>
      <c r="E943" s="18" t="s">
        <v>722</v>
      </c>
      <c r="F943" s="18" t="s">
        <v>55</v>
      </c>
      <c r="G943" s="18" t="s">
        <v>1334</v>
      </c>
      <c r="H943" s="18" t="s">
        <v>1335</v>
      </c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20">
        <v>46191.0</v>
      </c>
      <c r="B944" s="17" t="s">
        <v>352</v>
      </c>
      <c r="C944" s="17" t="s">
        <v>1336</v>
      </c>
      <c r="D944" s="23">
        <v>30243.0</v>
      </c>
      <c r="E944" s="18" t="s">
        <v>722</v>
      </c>
      <c r="F944" s="18" t="s">
        <v>55</v>
      </c>
      <c r="G944" s="18" t="s">
        <v>1337</v>
      </c>
      <c r="H944" s="18" t="s">
        <v>1335</v>
      </c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20">
        <v>46191.0</v>
      </c>
      <c r="B945" s="17" t="s">
        <v>352</v>
      </c>
      <c r="C945" s="17" t="s">
        <v>1338</v>
      </c>
      <c r="D945" s="20">
        <v>21828.0</v>
      </c>
      <c r="E945" s="18" t="s">
        <v>722</v>
      </c>
      <c r="F945" s="18" t="s">
        <v>55</v>
      </c>
      <c r="G945" s="18" t="s">
        <v>1339</v>
      </c>
      <c r="H945" s="18" t="s">
        <v>1340</v>
      </c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20">
        <v>46191.0</v>
      </c>
      <c r="B946" s="17" t="s">
        <v>352</v>
      </c>
      <c r="C946" s="17" t="s">
        <v>1341</v>
      </c>
      <c r="D946" s="20">
        <v>34044.0</v>
      </c>
      <c r="E946" s="18" t="s">
        <v>722</v>
      </c>
      <c r="F946" s="18" t="s">
        <v>55</v>
      </c>
      <c r="G946" s="18" t="s">
        <v>1342</v>
      </c>
      <c r="H946" s="18" t="s">
        <v>1343</v>
      </c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20">
        <v>46191.0</v>
      </c>
      <c r="B947" s="17" t="s">
        <v>352</v>
      </c>
      <c r="C947" s="17" t="s">
        <v>1344</v>
      </c>
      <c r="D947" s="20">
        <v>35309.0</v>
      </c>
      <c r="E947" s="18" t="s">
        <v>722</v>
      </c>
      <c r="F947" s="18" t="s">
        <v>55</v>
      </c>
      <c r="G947" s="18" t="s">
        <v>1345</v>
      </c>
      <c r="H947" s="18" t="s">
        <v>1346</v>
      </c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20">
        <v>46191.0</v>
      </c>
      <c r="B948" s="17" t="s">
        <v>1297</v>
      </c>
      <c r="C948" s="17" t="s">
        <v>1347</v>
      </c>
      <c r="D948" s="20">
        <v>31612.0</v>
      </c>
      <c r="E948" s="18" t="s">
        <v>722</v>
      </c>
      <c r="F948" s="18" t="s">
        <v>55</v>
      </c>
      <c r="G948" s="18" t="s">
        <v>1348</v>
      </c>
      <c r="H948" s="18" t="s">
        <v>1349</v>
      </c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20">
        <v>46191.0</v>
      </c>
      <c r="B949" s="17" t="s">
        <v>1297</v>
      </c>
      <c r="C949" s="17" t="s">
        <v>1350</v>
      </c>
      <c r="D949" s="20">
        <v>22144.0</v>
      </c>
      <c r="E949" s="18" t="s">
        <v>722</v>
      </c>
      <c r="F949" s="18" t="s">
        <v>55</v>
      </c>
      <c r="G949" s="18" t="s">
        <v>1351</v>
      </c>
      <c r="H949" s="18" t="s">
        <v>1352</v>
      </c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20">
        <v>46191.0</v>
      </c>
      <c r="B950" s="17" t="s">
        <v>1297</v>
      </c>
      <c r="C950" s="17" t="s">
        <v>1353</v>
      </c>
      <c r="D950" s="23">
        <v>33175.0</v>
      </c>
      <c r="E950" s="18" t="s">
        <v>722</v>
      </c>
      <c r="F950" s="18" t="s">
        <v>55</v>
      </c>
      <c r="G950" s="18" t="s">
        <v>1354</v>
      </c>
      <c r="H950" s="18" t="s">
        <v>1355</v>
      </c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20">
        <v>46191.0</v>
      </c>
      <c r="B951" s="17" t="s">
        <v>1297</v>
      </c>
      <c r="C951" s="17" t="s">
        <v>1356</v>
      </c>
      <c r="D951" s="20">
        <v>36734.0</v>
      </c>
      <c r="E951" s="18" t="s">
        <v>722</v>
      </c>
      <c r="F951" s="18" t="s">
        <v>55</v>
      </c>
      <c r="G951" s="18" t="s">
        <v>1357</v>
      </c>
      <c r="H951" s="18" t="s">
        <v>1358</v>
      </c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20">
        <v>46191.0</v>
      </c>
      <c r="B952" s="17" t="s">
        <v>1297</v>
      </c>
      <c r="C952" s="17" t="s">
        <v>1359</v>
      </c>
      <c r="D952" s="20">
        <v>28595.0</v>
      </c>
      <c r="E952" s="18" t="s">
        <v>722</v>
      </c>
      <c r="F952" s="18" t="s">
        <v>55</v>
      </c>
      <c r="G952" s="18" t="s">
        <v>1360</v>
      </c>
      <c r="H952" s="18" t="s">
        <v>1361</v>
      </c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20">
        <v>46191.0</v>
      </c>
      <c r="B953" s="17" t="s">
        <v>1297</v>
      </c>
      <c r="C953" s="17" t="s">
        <v>1362</v>
      </c>
      <c r="D953" s="20">
        <v>30125.0</v>
      </c>
      <c r="E953" s="18" t="s">
        <v>722</v>
      </c>
      <c r="F953" s="18" t="s">
        <v>55</v>
      </c>
      <c r="G953" s="18" t="s">
        <v>1363</v>
      </c>
      <c r="H953" s="18" t="s">
        <v>1364</v>
      </c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20">
        <v>46191.0</v>
      </c>
      <c r="B954" s="17" t="s">
        <v>1297</v>
      </c>
      <c r="C954" s="17" t="s">
        <v>1365</v>
      </c>
      <c r="D954" s="20">
        <v>30095.0</v>
      </c>
      <c r="E954" s="18" t="s">
        <v>81</v>
      </c>
      <c r="F954" s="18" t="s">
        <v>55</v>
      </c>
      <c r="G954" s="18" t="s">
        <v>1366</v>
      </c>
      <c r="H954" s="18" t="s">
        <v>1367</v>
      </c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20">
        <v>46191.0</v>
      </c>
      <c r="B955" s="17" t="s">
        <v>1297</v>
      </c>
      <c r="C955" s="17" t="s">
        <v>1368</v>
      </c>
      <c r="D955" s="23">
        <v>32840.0</v>
      </c>
      <c r="E955" s="18" t="s">
        <v>81</v>
      </c>
      <c r="F955" s="18" t="s">
        <v>55</v>
      </c>
      <c r="G955" s="18" t="s">
        <v>1369</v>
      </c>
      <c r="H955" s="18" t="s">
        <v>1370</v>
      </c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20">
        <v>46191.0</v>
      </c>
      <c r="B956" s="17" t="s">
        <v>1297</v>
      </c>
      <c r="C956" s="17" t="s">
        <v>1371</v>
      </c>
      <c r="D956" s="20">
        <v>25954.0</v>
      </c>
      <c r="E956" s="18" t="s">
        <v>81</v>
      </c>
      <c r="F956" s="18" t="s">
        <v>55</v>
      </c>
      <c r="G956" s="18" t="s">
        <v>1372</v>
      </c>
      <c r="H956" s="18" t="s">
        <v>1373</v>
      </c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20">
        <v>46191.0</v>
      </c>
      <c r="B957" s="17" t="s">
        <v>1297</v>
      </c>
      <c r="C957" s="17" t="s">
        <v>1374</v>
      </c>
      <c r="D957" s="23">
        <v>25524.0</v>
      </c>
      <c r="E957" s="18" t="s">
        <v>81</v>
      </c>
      <c r="F957" s="18" t="s">
        <v>55</v>
      </c>
      <c r="G957" s="18" t="s">
        <v>1375</v>
      </c>
      <c r="H957" s="18" t="s">
        <v>1376</v>
      </c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20">
        <v>46191.0</v>
      </c>
      <c r="B958" s="17" t="s">
        <v>1297</v>
      </c>
      <c r="C958" s="17" t="s">
        <v>1377</v>
      </c>
      <c r="D958" s="23">
        <v>27709.0</v>
      </c>
      <c r="E958" s="18" t="s">
        <v>81</v>
      </c>
      <c r="F958" s="18" t="s">
        <v>55</v>
      </c>
      <c r="G958" s="18" t="s">
        <v>1378</v>
      </c>
      <c r="H958" s="18" t="s">
        <v>1379</v>
      </c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20">
        <v>46191.0</v>
      </c>
      <c r="B959" s="17" t="s">
        <v>352</v>
      </c>
      <c r="C959" s="17" t="s">
        <v>1380</v>
      </c>
      <c r="D959" s="20">
        <v>33449.0</v>
      </c>
      <c r="E959" s="18" t="s">
        <v>74</v>
      </c>
      <c r="F959" s="18" t="s">
        <v>55</v>
      </c>
      <c r="G959" s="18" t="s">
        <v>1381</v>
      </c>
      <c r="H959" s="18" t="s">
        <v>1382</v>
      </c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20">
        <v>46191.0</v>
      </c>
      <c r="B960" s="17" t="s">
        <v>352</v>
      </c>
      <c r="C960" s="17" t="s">
        <v>1383</v>
      </c>
      <c r="D960" s="23">
        <v>31378.0</v>
      </c>
      <c r="E960" s="18" t="s">
        <v>74</v>
      </c>
      <c r="F960" s="18" t="s">
        <v>55</v>
      </c>
      <c r="G960" s="18" t="s">
        <v>1384</v>
      </c>
      <c r="H960" s="18" t="s">
        <v>1385</v>
      </c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20">
        <v>46191.0</v>
      </c>
      <c r="B961" s="17" t="s">
        <v>352</v>
      </c>
      <c r="C961" s="17" t="s">
        <v>1386</v>
      </c>
      <c r="D961" s="20">
        <v>28769.0</v>
      </c>
      <c r="E961" s="18" t="s">
        <v>74</v>
      </c>
      <c r="F961" s="18" t="s">
        <v>55</v>
      </c>
      <c r="G961" s="18" t="s">
        <v>1387</v>
      </c>
      <c r="H961" s="18" t="s">
        <v>1388</v>
      </c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20">
        <v>46191.0</v>
      </c>
      <c r="B962" s="17" t="s">
        <v>352</v>
      </c>
      <c r="C962" s="17" t="s">
        <v>1389</v>
      </c>
      <c r="D962" s="20">
        <v>23892.0</v>
      </c>
      <c r="E962" s="18" t="s">
        <v>74</v>
      </c>
      <c r="F962" s="18" t="s">
        <v>55</v>
      </c>
      <c r="G962" s="18" t="s">
        <v>1390</v>
      </c>
      <c r="H962" s="18" t="s">
        <v>1391</v>
      </c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20">
        <v>46191.0</v>
      </c>
      <c r="B963" s="17" t="s">
        <v>352</v>
      </c>
      <c r="C963" s="17" t="s">
        <v>1392</v>
      </c>
      <c r="D963" s="20">
        <v>20860.0</v>
      </c>
      <c r="E963" s="18" t="s">
        <v>74</v>
      </c>
      <c r="F963" s="18" t="s">
        <v>55</v>
      </c>
      <c r="G963" s="18" t="s">
        <v>1393</v>
      </c>
      <c r="H963" s="18" t="s">
        <v>1394</v>
      </c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20">
        <v>46191.0</v>
      </c>
      <c r="B964" s="52" t="s">
        <v>1137</v>
      </c>
      <c r="C964" s="17" t="s">
        <v>1395</v>
      </c>
      <c r="D964" s="20">
        <v>29094.0</v>
      </c>
      <c r="E964" s="18" t="s">
        <v>9</v>
      </c>
      <c r="F964" s="18" t="s">
        <v>1308</v>
      </c>
      <c r="G964" s="18" t="s">
        <v>1396</v>
      </c>
      <c r="H964" s="18" t="s">
        <v>1397</v>
      </c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20">
        <v>46191.0</v>
      </c>
      <c r="B965" s="52" t="s">
        <v>1137</v>
      </c>
      <c r="C965" s="17" t="s">
        <v>1398</v>
      </c>
      <c r="D965" s="20">
        <v>26687.0</v>
      </c>
      <c r="E965" s="18" t="s">
        <v>9</v>
      </c>
      <c r="F965" s="18" t="s">
        <v>1308</v>
      </c>
      <c r="G965" s="18" t="s">
        <v>1399</v>
      </c>
      <c r="H965" s="18" t="s">
        <v>1397</v>
      </c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20">
        <v>46191.0</v>
      </c>
      <c r="B966" s="52" t="s">
        <v>1137</v>
      </c>
      <c r="C966" s="17" t="s">
        <v>1400</v>
      </c>
      <c r="D966" s="20">
        <v>33739.0</v>
      </c>
      <c r="E966" s="18" t="s">
        <v>9</v>
      </c>
      <c r="F966" s="18" t="s">
        <v>1308</v>
      </c>
      <c r="G966" s="18" t="s">
        <v>1401</v>
      </c>
      <c r="H966" s="18" t="s">
        <v>1402</v>
      </c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20">
        <v>46191.0</v>
      </c>
      <c r="B967" s="52" t="s">
        <v>1137</v>
      </c>
      <c r="C967" s="17" t="s">
        <v>1403</v>
      </c>
      <c r="D967" s="20">
        <v>34746.0</v>
      </c>
      <c r="E967" s="18" t="s">
        <v>9</v>
      </c>
      <c r="F967" s="18" t="s">
        <v>1308</v>
      </c>
      <c r="G967" s="18" t="s">
        <v>1404</v>
      </c>
      <c r="H967" s="18" t="s">
        <v>1405</v>
      </c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20">
        <v>46191.0</v>
      </c>
      <c r="B968" s="52" t="s">
        <v>1137</v>
      </c>
      <c r="C968" s="17" t="s">
        <v>1406</v>
      </c>
      <c r="D968" s="20">
        <v>37764.0</v>
      </c>
      <c r="E968" s="18" t="s">
        <v>9</v>
      </c>
      <c r="F968" s="18" t="s">
        <v>1308</v>
      </c>
      <c r="G968" s="18" t="s">
        <v>1407</v>
      </c>
      <c r="H968" s="18" t="s">
        <v>1408</v>
      </c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20">
        <v>46191.0</v>
      </c>
      <c r="B969" s="52" t="s">
        <v>1137</v>
      </c>
      <c r="C969" s="17" t="s">
        <v>1409</v>
      </c>
      <c r="D969" s="23">
        <v>33218.0</v>
      </c>
      <c r="E969" s="18" t="s">
        <v>9</v>
      </c>
      <c r="F969" s="18" t="s">
        <v>1308</v>
      </c>
      <c r="G969" s="18" t="s">
        <v>1410</v>
      </c>
      <c r="H969" s="18" t="s">
        <v>1411</v>
      </c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20">
        <v>46191.0</v>
      </c>
      <c r="B970" s="52" t="s">
        <v>1137</v>
      </c>
      <c r="C970" s="17" t="s">
        <v>1412</v>
      </c>
      <c r="D970" s="20">
        <v>30394.0</v>
      </c>
      <c r="E970" s="18" t="s">
        <v>9</v>
      </c>
      <c r="F970" s="18" t="s">
        <v>1308</v>
      </c>
      <c r="G970" s="18" t="s">
        <v>1413</v>
      </c>
      <c r="H970" s="18" t="s">
        <v>1414</v>
      </c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20">
        <v>46191.0</v>
      </c>
      <c r="B971" s="52" t="s">
        <v>1137</v>
      </c>
      <c r="C971" s="17" t="s">
        <v>1415</v>
      </c>
      <c r="D971" s="20">
        <v>32146.0</v>
      </c>
      <c r="E971" s="18" t="s">
        <v>9</v>
      </c>
      <c r="F971" s="18" t="s">
        <v>1308</v>
      </c>
      <c r="G971" s="18" t="s">
        <v>1416</v>
      </c>
      <c r="H971" s="18" t="s">
        <v>1417</v>
      </c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20">
        <v>46191.0</v>
      </c>
      <c r="B972" s="52" t="s">
        <v>1137</v>
      </c>
      <c r="C972" s="17" t="s">
        <v>1418</v>
      </c>
      <c r="D972" s="20">
        <v>35070.0</v>
      </c>
      <c r="E972" s="18" t="s">
        <v>9</v>
      </c>
      <c r="F972" s="18" t="s">
        <v>1308</v>
      </c>
      <c r="G972" s="18" t="s">
        <v>1419</v>
      </c>
      <c r="H972" s="18" t="s">
        <v>1411</v>
      </c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20">
        <v>46191.0</v>
      </c>
      <c r="B973" s="52" t="s">
        <v>1137</v>
      </c>
      <c r="C973" s="17" t="s">
        <v>1420</v>
      </c>
      <c r="D973" s="17" t="s">
        <v>526</v>
      </c>
      <c r="E973" s="18" t="s">
        <v>1130</v>
      </c>
      <c r="F973" s="18" t="s">
        <v>1308</v>
      </c>
      <c r="G973" s="18" t="s">
        <v>1421</v>
      </c>
      <c r="H973" s="18" t="s">
        <v>1422</v>
      </c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20">
        <v>46191.0</v>
      </c>
      <c r="B974" s="52" t="s">
        <v>1137</v>
      </c>
      <c r="C974" s="17" t="s">
        <v>1423</v>
      </c>
      <c r="D974" s="17" t="s">
        <v>526</v>
      </c>
      <c r="E974" s="18" t="s">
        <v>1130</v>
      </c>
      <c r="F974" s="18" t="s">
        <v>1308</v>
      </c>
      <c r="G974" s="18" t="s">
        <v>1424</v>
      </c>
      <c r="H974" s="18" t="s">
        <v>1422</v>
      </c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20">
        <v>46191.0</v>
      </c>
      <c r="B975" s="52" t="s">
        <v>1137</v>
      </c>
      <c r="C975" s="17" t="s">
        <v>1425</v>
      </c>
      <c r="D975" s="17" t="s">
        <v>526</v>
      </c>
      <c r="E975" s="18" t="s">
        <v>1130</v>
      </c>
      <c r="F975" s="18" t="s">
        <v>1308</v>
      </c>
      <c r="G975" s="18" t="s">
        <v>1426</v>
      </c>
      <c r="H975" s="18" t="s">
        <v>1427</v>
      </c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20">
        <v>46191.0</v>
      </c>
      <c r="B976" s="52" t="s">
        <v>1137</v>
      </c>
      <c r="C976" s="17" t="s">
        <v>1428</v>
      </c>
      <c r="D976" s="17" t="s">
        <v>526</v>
      </c>
      <c r="E976" s="18" t="s">
        <v>1130</v>
      </c>
      <c r="F976" s="18" t="s">
        <v>1308</v>
      </c>
      <c r="G976" s="18" t="s">
        <v>1429</v>
      </c>
      <c r="H976" s="18" t="s">
        <v>1430</v>
      </c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20"/>
      <c r="B977" s="34"/>
      <c r="C977" s="16"/>
      <c r="D977" s="16"/>
      <c r="E977" s="18"/>
      <c r="F977" s="18"/>
      <c r="G977" s="19"/>
      <c r="H977" s="19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20"/>
      <c r="B978" s="34"/>
      <c r="C978" s="16"/>
      <c r="D978" s="16"/>
      <c r="E978" s="18"/>
      <c r="F978" s="18"/>
      <c r="G978" s="19"/>
      <c r="H978" s="19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20"/>
      <c r="B979" s="34"/>
      <c r="C979" s="16"/>
      <c r="D979" s="16"/>
      <c r="E979" s="18"/>
      <c r="F979" s="18"/>
      <c r="G979" s="19"/>
      <c r="H979" s="19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16"/>
      <c r="B980" s="16"/>
      <c r="C980" s="16"/>
      <c r="D980" s="16"/>
      <c r="E980" s="19"/>
      <c r="F980" s="19"/>
      <c r="G980" s="19"/>
      <c r="H980" s="19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16"/>
      <c r="B981" s="16"/>
      <c r="C981" s="16"/>
      <c r="D981" s="16"/>
      <c r="E981" s="19"/>
      <c r="F981" s="19"/>
      <c r="G981" s="19"/>
      <c r="H981" s="19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16"/>
      <c r="B982" s="16"/>
      <c r="C982" s="16"/>
      <c r="D982" s="16"/>
      <c r="E982" s="19"/>
      <c r="F982" s="19"/>
      <c r="G982" s="19"/>
      <c r="H982" s="19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16"/>
      <c r="B983" s="16"/>
      <c r="C983" s="16"/>
      <c r="D983" s="16"/>
      <c r="E983" s="19"/>
      <c r="F983" s="19"/>
      <c r="G983" s="19"/>
      <c r="H983" s="19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16"/>
      <c r="B984" s="16"/>
      <c r="C984" s="16"/>
      <c r="D984" s="16"/>
      <c r="E984" s="19"/>
      <c r="F984" s="19"/>
      <c r="G984" s="19"/>
      <c r="H984" s="19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16"/>
      <c r="B985" s="16"/>
      <c r="C985" s="16"/>
      <c r="D985" s="16"/>
      <c r="E985" s="19"/>
      <c r="F985" s="19"/>
      <c r="G985" s="19"/>
      <c r="H985" s="19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16"/>
      <c r="B986" s="16"/>
      <c r="C986" s="16"/>
      <c r="D986" s="16"/>
      <c r="E986" s="19"/>
      <c r="F986" s="19"/>
      <c r="G986" s="19"/>
      <c r="H986" s="19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16"/>
      <c r="B987" s="16"/>
      <c r="C987" s="16"/>
      <c r="D987" s="16"/>
      <c r="E987" s="19"/>
      <c r="F987" s="19"/>
      <c r="G987" s="19"/>
      <c r="H987" s="19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16"/>
      <c r="B988" s="16"/>
      <c r="C988" s="16"/>
      <c r="D988" s="16"/>
      <c r="E988" s="19"/>
      <c r="F988" s="19"/>
      <c r="G988" s="19"/>
      <c r="H988" s="19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16"/>
      <c r="B989" s="16"/>
      <c r="C989" s="16"/>
      <c r="D989" s="16"/>
      <c r="E989" s="19"/>
      <c r="F989" s="19"/>
      <c r="G989" s="19"/>
      <c r="H989" s="19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</sheetData>
  <autoFilter ref="$A$1:$J$979"/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5"/>
    <col customWidth="1" min="3" max="3" width="52.75"/>
    <col customWidth="1" min="7" max="7" width="16.5"/>
    <col customWidth="1" min="8" max="8" width="54.0"/>
  </cols>
  <sheetData>
    <row r="1">
      <c r="A1" s="54" t="s">
        <v>48</v>
      </c>
      <c r="B1" s="54" t="s">
        <v>3</v>
      </c>
      <c r="C1" s="55" t="s">
        <v>1431</v>
      </c>
      <c r="D1" s="54" t="s">
        <v>2</v>
      </c>
      <c r="E1" s="55" t="s">
        <v>5</v>
      </c>
      <c r="F1" s="54" t="s">
        <v>6</v>
      </c>
      <c r="G1" s="56" t="s">
        <v>4</v>
      </c>
      <c r="H1" s="56" t="s">
        <v>51</v>
      </c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</row>
    <row r="2">
      <c r="A2" s="58">
        <v>46140.0</v>
      </c>
      <c r="B2" s="59" t="s">
        <v>1432</v>
      </c>
      <c r="C2" s="60" t="s">
        <v>1433</v>
      </c>
      <c r="D2" s="61">
        <v>26831.0</v>
      </c>
      <c r="E2" s="59" t="s">
        <v>81</v>
      </c>
      <c r="F2" s="59" t="s">
        <v>55</v>
      </c>
      <c r="G2" s="62"/>
      <c r="H2" s="62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>
      <c r="A3" s="58">
        <v>46140.0</v>
      </c>
      <c r="B3" s="59" t="s">
        <v>1432</v>
      </c>
      <c r="C3" s="60" t="s">
        <v>1434</v>
      </c>
      <c r="D3" s="61">
        <v>33652.0</v>
      </c>
      <c r="E3" s="59" t="s">
        <v>81</v>
      </c>
      <c r="F3" s="59" t="s">
        <v>55</v>
      </c>
      <c r="G3" s="62"/>
      <c r="H3" s="62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>
      <c r="A4" s="58">
        <v>46140.0</v>
      </c>
      <c r="B4" s="59" t="s">
        <v>1432</v>
      </c>
      <c r="C4" s="60" t="s">
        <v>1435</v>
      </c>
      <c r="D4" s="61">
        <v>35574.0</v>
      </c>
      <c r="E4" s="59" t="s">
        <v>81</v>
      </c>
      <c r="F4" s="59" t="s">
        <v>55</v>
      </c>
      <c r="G4" s="62"/>
      <c r="H4" s="62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</row>
    <row r="5">
      <c r="A5" s="58">
        <v>46140.0</v>
      </c>
      <c r="B5" s="59" t="s">
        <v>1432</v>
      </c>
      <c r="C5" s="60" t="s">
        <v>1436</v>
      </c>
      <c r="D5" s="58">
        <v>27449.0</v>
      </c>
      <c r="E5" s="59" t="s">
        <v>81</v>
      </c>
      <c r="F5" s="59" t="s">
        <v>55</v>
      </c>
      <c r="G5" s="62"/>
      <c r="H5" s="62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</row>
    <row r="6">
      <c r="A6" s="58">
        <v>46140.0</v>
      </c>
      <c r="B6" s="59" t="s">
        <v>1432</v>
      </c>
      <c r="C6" s="59" t="s">
        <v>1437</v>
      </c>
      <c r="D6" s="58">
        <v>36639.0</v>
      </c>
      <c r="E6" s="59" t="s">
        <v>54</v>
      </c>
      <c r="F6" s="59" t="s">
        <v>55</v>
      </c>
      <c r="G6" s="62"/>
      <c r="H6" s="62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</row>
    <row r="7">
      <c r="A7" s="58">
        <v>46140.0</v>
      </c>
      <c r="B7" s="59" t="s">
        <v>1432</v>
      </c>
      <c r="C7" s="59" t="s">
        <v>1438</v>
      </c>
      <c r="D7" s="58">
        <v>36752.0</v>
      </c>
      <c r="E7" s="59" t="s">
        <v>54</v>
      </c>
      <c r="F7" s="59" t="s">
        <v>55</v>
      </c>
      <c r="G7" s="62"/>
      <c r="H7" s="62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</row>
    <row r="8">
      <c r="A8" s="58">
        <v>46140.0</v>
      </c>
      <c r="B8" s="59" t="s">
        <v>1432</v>
      </c>
      <c r="C8" s="59" t="s">
        <v>1439</v>
      </c>
      <c r="D8" s="58">
        <v>30924.0</v>
      </c>
      <c r="E8" s="59" t="s">
        <v>54</v>
      </c>
      <c r="F8" s="59" t="s">
        <v>55</v>
      </c>
      <c r="G8" s="62"/>
      <c r="H8" s="62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>
      <c r="A9" s="58">
        <v>46140.0</v>
      </c>
      <c r="B9" s="59" t="s">
        <v>1432</v>
      </c>
      <c r="C9" s="59" t="s">
        <v>1440</v>
      </c>
      <c r="D9" s="61">
        <v>32800.0</v>
      </c>
      <c r="E9" s="59" t="s">
        <v>54</v>
      </c>
      <c r="F9" s="59" t="s">
        <v>55</v>
      </c>
      <c r="G9" s="62"/>
      <c r="H9" s="62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>
      <c r="A10" s="58">
        <v>46140.0</v>
      </c>
      <c r="B10" s="59" t="s">
        <v>1432</v>
      </c>
      <c r="C10" s="59" t="s">
        <v>1441</v>
      </c>
      <c r="D10" s="61">
        <v>33592.0</v>
      </c>
      <c r="E10" s="59" t="s">
        <v>54</v>
      </c>
      <c r="F10" s="59" t="s">
        <v>55</v>
      </c>
      <c r="G10" s="62"/>
      <c r="H10" s="62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>
      <c r="A11" s="58">
        <v>46140.0</v>
      </c>
      <c r="B11" s="59" t="s">
        <v>1432</v>
      </c>
      <c r="C11" s="59" t="s">
        <v>1442</v>
      </c>
      <c r="D11" s="61">
        <v>32829.0</v>
      </c>
      <c r="E11" s="59" t="s">
        <v>54</v>
      </c>
      <c r="F11" s="59" t="s">
        <v>55</v>
      </c>
      <c r="G11" s="62"/>
      <c r="H11" s="62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>
      <c r="A12" s="58">
        <v>46140.0</v>
      </c>
      <c r="B12" s="59" t="s">
        <v>1432</v>
      </c>
      <c r="C12" s="59" t="s">
        <v>1443</v>
      </c>
      <c r="D12" s="61">
        <v>28108.0</v>
      </c>
      <c r="E12" s="59" t="s">
        <v>54</v>
      </c>
      <c r="F12" s="59" t="s">
        <v>55</v>
      </c>
      <c r="G12" s="62"/>
      <c r="H12" s="62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>
      <c r="A13" s="58">
        <v>46140.0</v>
      </c>
      <c r="B13" s="59" t="s">
        <v>1432</v>
      </c>
      <c r="C13" s="59" t="s">
        <v>1444</v>
      </c>
      <c r="D13" s="61">
        <v>33552.0</v>
      </c>
      <c r="E13" s="59" t="s">
        <v>54</v>
      </c>
      <c r="F13" s="59" t="s">
        <v>55</v>
      </c>
      <c r="G13" s="62"/>
      <c r="H13" s="62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>
      <c r="A14" s="58">
        <v>46140.0</v>
      </c>
      <c r="B14" s="59" t="s">
        <v>1432</v>
      </c>
      <c r="C14" s="59" t="s">
        <v>1445</v>
      </c>
      <c r="D14" s="58">
        <v>24679.0</v>
      </c>
      <c r="E14" s="59" t="s">
        <v>54</v>
      </c>
      <c r="F14" s="59" t="s">
        <v>55</v>
      </c>
      <c r="G14" s="62"/>
      <c r="H14" s="62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>
      <c r="A15" s="58">
        <v>46140.0</v>
      </c>
      <c r="B15" s="59" t="s">
        <v>1432</v>
      </c>
      <c r="C15" s="59" t="s">
        <v>1446</v>
      </c>
      <c r="D15" s="58">
        <v>36276.0</v>
      </c>
      <c r="E15" s="59" t="s">
        <v>74</v>
      </c>
      <c r="F15" s="59" t="s">
        <v>55</v>
      </c>
      <c r="G15" s="62"/>
      <c r="H15" s="62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>
      <c r="A16" s="58">
        <v>46140.0</v>
      </c>
      <c r="B16" s="59" t="s">
        <v>1432</v>
      </c>
      <c r="C16" s="59" t="s">
        <v>1447</v>
      </c>
      <c r="D16" s="58">
        <v>37596.0</v>
      </c>
      <c r="E16" s="59" t="s">
        <v>74</v>
      </c>
      <c r="F16" s="59" t="s">
        <v>55</v>
      </c>
      <c r="G16" s="62"/>
      <c r="H16" s="62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</row>
    <row r="17">
      <c r="A17" s="58">
        <v>46140.0</v>
      </c>
      <c r="B17" s="59" t="s">
        <v>1432</v>
      </c>
      <c r="C17" s="59" t="s">
        <v>1448</v>
      </c>
      <c r="D17" s="58">
        <v>36005.0</v>
      </c>
      <c r="E17" s="59" t="s">
        <v>74</v>
      </c>
      <c r="F17" s="59" t="s">
        <v>55</v>
      </c>
      <c r="G17" s="62"/>
      <c r="H17" s="62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  <row r="18">
      <c r="A18" s="64">
        <v>46141.0</v>
      </c>
      <c r="B18" s="59" t="s">
        <v>1432</v>
      </c>
      <c r="C18" s="59" t="s">
        <v>1449</v>
      </c>
      <c r="D18" s="58">
        <v>23885.0</v>
      </c>
      <c r="E18" s="59" t="s">
        <v>54</v>
      </c>
      <c r="F18" s="59" t="s">
        <v>55</v>
      </c>
      <c r="G18" s="62"/>
      <c r="H18" s="62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</row>
    <row r="19">
      <c r="A19" s="58">
        <v>46141.0</v>
      </c>
      <c r="B19" s="59" t="s">
        <v>1432</v>
      </c>
      <c r="C19" s="59" t="s">
        <v>1450</v>
      </c>
      <c r="D19" s="58">
        <v>31653.0</v>
      </c>
      <c r="E19" s="59" t="s">
        <v>54</v>
      </c>
      <c r="F19" s="59" t="s">
        <v>55</v>
      </c>
      <c r="G19" s="62"/>
      <c r="H19" s="62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</row>
    <row r="20">
      <c r="A20" s="58">
        <v>46141.0</v>
      </c>
      <c r="B20" s="59" t="s">
        <v>1432</v>
      </c>
      <c r="C20" s="59" t="s">
        <v>1451</v>
      </c>
      <c r="D20" s="58">
        <v>19912.0</v>
      </c>
      <c r="E20" s="59" t="s">
        <v>54</v>
      </c>
      <c r="F20" s="59" t="s">
        <v>55</v>
      </c>
      <c r="G20" s="62"/>
      <c r="H20" s="62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</row>
    <row r="21">
      <c r="A21" s="58">
        <v>46141.0</v>
      </c>
      <c r="B21" s="59" t="s">
        <v>1432</v>
      </c>
      <c r="C21" s="59" t="s">
        <v>1452</v>
      </c>
      <c r="D21" s="58">
        <v>34574.0</v>
      </c>
      <c r="E21" s="59" t="s">
        <v>54</v>
      </c>
      <c r="F21" s="59" t="s">
        <v>55</v>
      </c>
      <c r="G21" s="62"/>
      <c r="H21" s="62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</row>
    <row r="22">
      <c r="A22" s="58">
        <v>46141.0</v>
      </c>
      <c r="B22" s="59" t="s">
        <v>1432</v>
      </c>
      <c r="C22" s="59" t="s">
        <v>1453</v>
      </c>
      <c r="D22" s="61">
        <v>34657.0</v>
      </c>
      <c r="E22" s="59" t="s">
        <v>54</v>
      </c>
      <c r="F22" s="59" t="s">
        <v>55</v>
      </c>
      <c r="G22" s="62"/>
      <c r="H22" s="62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</row>
    <row r="23">
      <c r="A23" s="58">
        <v>46141.0</v>
      </c>
      <c r="B23" s="59" t="s">
        <v>1432</v>
      </c>
      <c r="C23" s="59" t="s">
        <v>1454</v>
      </c>
      <c r="D23" s="58">
        <v>32310.0</v>
      </c>
      <c r="E23" s="59" t="s">
        <v>54</v>
      </c>
      <c r="F23" s="59" t="s">
        <v>55</v>
      </c>
      <c r="G23" s="62"/>
      <c r="H23" s="62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</row>
    <row r="24">
      <c r="A24" s="58">
        <v>46141.0</v>
      </c>
      <c r="B24" s="59" t="s">
        <v>1432</v>
      </c>
      <c r="C24" s="59" t="s">
        <v>1455</v>
      </c>
      <c r="D24" s="58">
        <v>28007.0</v>
      </c>
      <c r="E24" s="59" t="s">
        <v>54</v>
      </c>
      <c r="F24" s="59" t="s">
        <v>55</v>
      </c>
      <c r="G24" s="62"/>
      <c r="H24" s="62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</row>
    <row r="25">
      <c r="A25" s="58">
        <v>46141.0</v>
      </c>
      <c r="B25" s="59" t="s">
        <v>1432</v>
      </c>
      <c r="C25" s="59" t="s">
        <v>1456</v>
      </c>
      <c r="D25" s="58">
        <v>33297.0</v>
      </c>
      <c r="E25" s="59" t="s">
        <v>54</v>
      </c>
      <c r="F25" s="59" t="s">
        <v>55</v>
      </c>
      <c r="G25" s="62"/>
      <c r="H25" s="62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</row>
    <row r="26">
      <c r="A26" s="58">
        <v>46141.0</v>
      </c>
      <c r="B26" s="59" t="s">
        <v>1432</v>
      </c>
      <c r="C26" s="59" t="s">
        <v>1457</v>
      </c>
      <c r="D26" s="58">
        <v>24445.0</v>
      </c>
      <c r="E26" s="59" t="s">
        <v>54</v>
      </c>
      <c r="F26" s="59" t="s">
        <v>55</v>
      </c>
      <c r="G26" s="62"/>
      <c r="H26" s="62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</row>
    <row r="27">
      <c r="A27" s="58">
        <v>46141.0</v>
      </c>
      <c r="B27" s="59" t="s">
        <v>1432</v>
      </c>
      <c r="C27" s="59" t="s">
        <v>1458</v>
      </c>
      <c r="D27" s="58">
        <v>27112.0</v>
      </c>
      <c r="E27" s="59" t="s">
        <v>54</v>
      </c>
      <c r="F27" s="59" t="s">
        <v>55</v>
      </c>
      <c r="G27" s="62"/>
      <c r="H27" s="62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</row>
    <row r="28">
      <c r="A28" s="58">
        <v>46141.0</v>
      </c>
      <c r="B28" s="59" t="s">
        <v>1432</v>
      </c>
      <c r="C28" s="59" t="s">
        <v>1459</v>
      </c>
      <c r="D28" s="58">
        <v>31325.0</v>
      </c>
      <c r="E28" s="59" t="s">
        <v>54</v>
      </c>
      <c r="F28" s="59" t="s">
        <v>55</v>
      </c>
      <c r="G28" s="62"/>
      <c r="H28" s="62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</row>
    <row r="29">
      <c r="A29" s="58">
        <v>46141.0</v>
      </c>
      <c r="B29" s="59" t="s">
        <v>1432</v>
      </c>
      <c r="C29" s="59" t="s">
        <v>1460</v>
      </c>
      <c r="D29" s="61">
        <v>33908.0</v>
      </c>
      <c r="E29" s="59" t="s">
        <v>54</v>
      </c>
      <c r="F29" s="59" t="s">
        <v>55</v>
      </c>
      <c r="G29" s="62"/>
      <c r="H29" s="62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</row>
    <row r="30">
      <c r="A30" s="58">
        <v>46141.0</v>
      </c>
      <c r="B30" s="59" t="s">
        <v>1432</v>
      </c>
      <c r="C30" s="59" t="s">
        <v>1461</v>
      </c>
      <c r="D30" s="58">
        <v>25339.0</v>
      </c>
      <c r="E30" s="59" t="s">
        <v>54</v>
      </c>
      <c r="F30" s="59" t="s">
        <v>55</v>
      </c>
      <c r="G30" s="62"/>
      <c r="H30" s="62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</row>
    <row r="31">
      <c r="A31" s="58">
        <v>46141.0</v>
      </c>
      <c r="B31" s="59" t="s">
        <v>1432</v>
      </c>
      <c r="C31" s="59" t="s">
        <v>1462</v>
      </c>
      <c r="D31" s="58">
        <v>34114.0</v>
      </c>
      <c r="E31" s="59" t="s">
        <v>54</v>
      </c>
      <c r="F31" s="59" t="s">
        <v>55</v>
      </c>
      <c r="G31" s="62"/>
      <c r="H31" s="62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</row>
    <row r="32">
      <c r="A32" s="58">
        <v>46141.0</v>
      </c>
      <c r="B32" s="59" t="s">
        <v>1432</v>
      </c>
      <c r="C32" s="59" t="s">
        <v>1463</v>
      </c>
      <c r="D32" s="58">
        <v>31287.0</v>
      </c>
      <c r="E32" s="59" t="s">
        <v>54</v>
      </c>
      <c r="F32" s="59" t="s">
        <v>55</v>
      </c>
      <c r="G32" s="62"/>
      <c r="H32" s="62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</row>
    <row r="33">
      <c r="A33" s="58">
        <v>46141.0</v>
      </c>
      <c r="B33" s="59" t="s">
        <v>1432</v>
      </c>
      <c r="C33" s="59" t="s">
        <v>1464</v>
      </c>
      <c r="D33" s="58">
        <v>36015.0</v>
      </c>
      <c r="E33" s="59" t="s">
        <v>86</v>
      </c>
      <c r="F33" s="59" t="s">
        <v>55</v>
      </c>
      <c r="G33" s="62"/>
      <c r="H33" s="62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</row>
    <row r="34">
      <c r="A34" s="58">
        <v>46141.0</v>
      </c>
      <c r="B34" s="59" t="s">
        <v>1432</v>
      </c>
      <c r="C34" s="59" t="s">
        <v>1465</v>
      </c>
      <c r="D34" s="58">
        <v>30218.0</v>
      </c>
      <c r="E34" s="59" t="s">
        <v>86</v>
      </c>
      <c r="F34" s="59" t="s">
        <v>55</v>
      </c>
      <c r="G34" s="62"/>
      <c r="H34" s="62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</row>
    <row r="35">
      <c r="A35" s="58">
        <v>46141.0</v>
      </c>
      <c r="B35" s="59" t="s">
        <v>1432</v>
      </c>
      <c r="C35" s="65" t="s">
        <v>1466</v>
      </c>
      <c r="D35" s="61">
        <v>34260.0</v>
      </c>
      <c r="E35" s="59" t="s">
        <v>81</v>
      </c>
      <c r="F35" s="59" t="s">
        <v>55</v>
      </c>
      <c r="G35" s="62"/>
      <c r="H35" s="62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</row>
    <row r="36">
      <c r="A36" s="58">
        <v>46141.0</v>
      </c>
      <c r="B36" s="59" t="s">
        <v>1432</v>
      </c>
      <c r="C36" s="65" t="s">
        <v>1467</v>
      </c>
      <c r="D36" s="61">
        <v>30613.0</v>
      </c>
      <c r="E36" s="66" t="s">
        <v>81</v>
      </c>
      <c r="F36" s="59" t="s">
        <v>55</v>
      </c>
      <c r="G36" s="62"/>
      <c r="H36" s="62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</row>
    <row r="37">
      <c r="A37" s="58">
        <v>46141.0</v>
      </c>
      <c r="B37" s="59" t="s">
        <v>1432</v>
      </c>
      <c r="C37" s="65" t="s">
        <v>1468</v>
      </c>
      <c r="D37" s="58">
        <v>29111.0</v>
      </c>
      <c r="E37" s="59" t="s">
        <v>81</v>
      </c>
      <c r="F37" s="59" t="s">
        <v>55</v>
      </c>
      <c r="G37" s="62"/>
      <c r="H37" s="62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</row>
    <row r="38">
      <c r="A38" s="58">
        <v>46141.0</v>
      </c>
      <c r="B38" s="59" t="s">
        <v>1432</v>
      </c>
      <c r="C38" s="65" t="s">
        <v>1469</v>
      </c>
      <c r="D38" s="58">
        <v>34108.0</v>
      </c>
      <c r="E38" s="59" t="s">
        <v>81</v>
      </c>
      <c r="F38" s="59" t="s">
        <v>1470</v>
      </c>
      <c r="G38" s="62"/>
      <c r="H38" s="62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</row>
    <row r="39">
      <c r="A39" s="64">
        <v>46142.0</v>
      </c>
      <c r="B39" s="60" t="s">
        <v>1432</v>
      </c>
      <c r="C39" s="60" t="s">
        <v>1471</v>
      </c>
      <c r="D39" s="67">
        <v>38388.0</v>
      </c>
      <c r="E39" s="59" t="s">
        <v>54</v>
      </c>
      <c r="F39" s="60" t="s">
        <v>55</v>
      </c>
      <c r="G39" s="62"/>
      <c r="H39" s="62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</row>
    <row r="40">
      <c r="A40" s="67">
        <v>46142.0</v>
      </c>
      <c r="B40" s="60" t="s">
        <v>1432</v>
      </c>
      <c r="C40" s="60" t="s">
        <v>1472</v>
      </c>
      <c r="D40" s="68">
        <v>31028.0</v>
      </c>
      <c r="E40" s="59" t="s">
        <v>54</v>
      </c>
      <c r="F40" s="60" t="s">
        <v>55</v>
      </c>
      <c r="G40" s="62"/>
      <c r="H40" s="62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>
      <c r="A41" s="67">
        <v>46142.0</v>
      </c>
      <c r="B41" s="60" t="s">
        <v>1432</v>
      </c>
      <c r="C41" s="60" t="s">
        <v>1473</v>
      </c>
      <c r="D41" s="68">
        <v>29520.0</v>
      </c>
      <c r="E41" s="59" t="s">
        <v>54</v>
      </c>
      <c r="F41" s="60" t="s">
        <v>55</v>
      </c>
      <c r="G41" s="62"/>
      <c r="H41" s="62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</row>
    <row r="42">
      <c r="A42" s="67">
        <v>46142.0</v>
      </c>
      <c r="B42" s="60" t="s">
        <v>1432</v>
      </c>
      <c r="C42" s="60" t="s">
        <v>1474</v>
      </c>
      <c r="D42" s="67">
        <v>31874.0</v>
      </c>
      <c r="E42" s="59" t="s">
        <v>54</v>
      </c>
      <c r="F42" s="60" t="s">
        <v>55</v>
      </c>
      <c r="G42" s="62"/>
      <c r="H42" s="62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</row>
    <row r="43">
      <c r="A43" s="67">
        <v>46142.0</v>
      </c>
      <c r="B43" s="60" t="s">
        <v>1432</v>
      </c>
      <c r="C43" s="60" t="s">
        <v>1475</v>
      </c>
      <c r="D43" s="67">
        <v>33868.0</v>
      </c>
      <c r="E43" s="59" t="s">
        <v>54</v>
      </c>
      <c r="F43" s="60" t="s">
        <v>55</v>
      </c>
      <c r="G43" s="62"/>
      <c r="H43" s="62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>
      <c r="A44" s="67">
        <v>46142.0</v>
      </c>
      <c r="B44" s="60" t="s">
        <v>1432</v>
      </c>
      <c r="C44" s="60" t="s">
        <v>1476</v>
      </c>
      <c r="D44" s="67">
        <v>33728.0</v>
      </c>
      <c r="E44" s="59" t="s">
        <v>54</v>
      </c>
      <c r="F44" s="60" t="s">
        <v>55</v>
      </c>
      <c r="G44" s="62"/>
      <c r="H44" s="62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</row>
    <row r="45">
      <c r="A45" s="67">
        <v>46142.0</v>
      </c>
      <c r="B45" s="60" t="s">
        <v>1432</v>
      </c>
      <c r="C45" s="60" t="s">
        <v>1477</v>
      </c>
      <c r="D45" s="67">
        <v>36346.0</v>
      </c>
      <c r="E45" s="59" t="s">
        <v>54</v>
      </c>
      <c r="F45" s="60" t="s">
        <v>55</v>
      </c>
      <c r="G45" s="62"/>
      <c r="H45" s="62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>
      <c r="A46" s="67">
        <v>46142.0</v>
      </c>
      <c r="B46" s="60" t="s">
        <v>1432</v>
      </c>
      <c r="C46" s="60" t="s">
        <v>1478</v>
      </c>
      <c r="D46" s="67">
        <v>30214.0</v>
      </c>
      <c r="E46" s="59" t="s">
        <v>54</v>
      </c>
      <c r="F46" s="60" t="s">
        <v>55</v>
      </c>
      <c r="G46" s="62"/>
      <c r="H46" s="62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</row>
    <row r="47">
      <c r="A47" s="67">
        <v>46142.0</v>
      </c>
      <c r="B47" s="60" t="s">
        <v>1432</v>
      </c>
      <c r="C47" s="60" t="s">
        <v>1479</v>
      </c>
      <c r="D47" s="60" t="s">
        <v>1480</v>
      </c>
      <c r="E47" s="59" t="s">
        <v>54</v>
      </c>
      <c r="F47" s="60" t="s">
        <v>55</v>
      </c>
      <c r="G47" s="62"/>
      <c r="H47" s="62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</row>
    <row r="48">
      <c r="A48" s="67">
        <v>46142.0</v>
      </c>
      <c r="B48" s="60" t="s">
        <v>1432</v>
      </c>
      <c r="C48" s="60" t="s">
        <v>1481</v>
      </c>
      <c r="D48" s="68">
        <v>28819.0</v>
      </c>
      <c r="E48" s="59" t="s">
        <v>54</v>
      </c>
      <c r="F48" s="60" t="s">
        <v>55</v>
      </c>
      <c r="G48" s="62"/>
      <c r="H48" s="62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</row>
    <row r="49">
      <c r="A49" s="58">
        <v>46142.0</v>
      </c>
      <c r="B49" s="59" t="s">
        <v>1432</v>
      </c>
      <c r="C49" s="59" t="s">
        <v>1482</v>
      </c>
      <c r="D49" s="58">
        <v>33355.0</v>
      </c>
      <c r="E49" s="59" t="s">
        <v>74</v>
      </c>
      <c r="F49" s="59" t="s">
        <v>55</v>
      </c>
      <c r="G49" s="62"/>
      <c r="H49" s="62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</row>
    <row r="50">
      <c r="A50" s="69">
        <v>46143.0</v>
      </c>
      <c r="B50" s="59" t="s">
        <v>1432</v>
      </c>
      <c r="C50" s="59" t="s">
        <v>1483</v>
      </c>
      <c r="D50" s="58">
        <v>26211.0</v>
      </c>
      <c r="E50" s="59" t="s">
        <v>74</v>
      </c>
      <c r="F50" s="59" t="s">
        <v>55</v>
      </c>
      <c r="G50" s="62"/>
      <c r="H50" s="62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</row>
    <row r="51">
      <c r="A51" s="69">
        <v>46143.0</v>
      </c>
      <c r="B51" s="59" t="s">
        <v>1432</v>
      </c>
      <c r="C51" s="59" t="s">
        <v>1484</v>
      </c>
      <c r="D51" s="58">
        <v>36937.0</v>
      </c>
      <c r="E51" s="59" t="s">
        <v>74</v>
      </c>
      <c r="F51" s="59" t="s">
        <v>55</v>
      </c>
      <c r="G51" s="62"/>
      <c r="H51" s="62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</row>
    <row r="52">
      <c r="A52" s="69">
        <v>46143.0</v>
      </c>
      <c r="B52" s="59" t="s">
        <v>1432</v>
      </c>
      <c r="C52" s="59" t="s">
        <v>1485</v>
      </c>
      <c r="D52" s="58">
        <v>33481.0</v>
      </c>
      <c r="E52" s="59" t="s">
        <v>74</v>
      </c>
      <c r="F52" s="59" t="s">
        <v>55</v>
      </c>
      <c r="G52" s="62"/>
      <c r="H52" s="62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</row>
    <row r="53">
      <c r="A53" s="69">
        <v>46143.0</v>
      </c>
      <c r="B53" s="59" t="s">
        <v>1432</v>
      </c>
      <c r="C53" s="59" t="s">
        <v>1486</v>
      </c>
      <c r="D53" s="61">
        <v>27756.0</v>
      </c>
      <c r="E53" s="59" t="s">
        <v>74</v>
      </c>
      <c r="F53" s="59" t="s">
        <v>55</v>
      </c>
      <c r="G53" s="62"/>
      <c r="H53" s="62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</row>
    <row r="54">
      <c r="A54" s="69">
        <v>46143.0</v>
      </c>
      <c r="B54" s="59" t="s">
        <v>1432</v>
      </c>
      <c r="C54" s="59" t="s">
        <v>1487</v>
      </c>
      <c r="D54" s="58">
        <v>23269.0</v>
      </c>
      <c r="E54" s="59" t="s">
        <v>74</v>
      </c>
      <c r="F54" s="59" t="s">
        <v>55</v>
      </c>
      <c r="G54" s="62"/>
      <c r="H54" s="62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</row>
    <row r="55">
      <c r="A55" s="69">
        <v>46143.0</v>
      </c>
      <c r="B55" s="59" t="s">
        <v>1432</v>
      </c>
      <c r="C55" s="59" t="s">
        <v>1488</v>
      </c>
      <c r="D55" s="61">
        <v>37936.0</v>
      </c>
      <c r="E55" s="59" t="s">
        <v>74</v>
      </c>
      <c r="F55" s="59" t="s">
        <v>55</v>
      </c>
      <c r="G55" s="62"/>
      <c r="H55" s="62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</row>
    <row r="56">
      <c r="A56" s="69">
        <v>46143.0</v>
      </c>
      <c r="B56" s="59" t="s">
        <v>1432</v>
      </c>
      <c r="C56" s="59" t="s">
        <v>1489</v>
      </c>
      <c r="D56" s="61">
        <v>30643.0</v>
      </c>
      <c r="E56" s="59" t="s">
        <v>74</v>
      </c>
      <c r="F56" s="59" t="s">
        <v>55</v>
      </c>
      <c r="G56" s="62"/>
      <c r="H56" s="62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</row>
    <row r="57">
      <c r="A57" s="69">
        <v>46143.0</v>
      </c>
      <c r="B57" s="59" t="s">
        <v>1432</v>
      </c>
      <c r="C57" s="59" t="s">
        <v>1490</v>
      </c>
      <c r="D57" s="58">
        <v>33031.0</v>
      </c>
      <c r="E57" s="59" t="s">
        <v>74</v>
      </c>
      <c r="F57" s="59" t="s">
        <v>55</v>
      </c>
      <c r="G57" s="62"/>
      <c r="H57" s="62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</row>
    <row r="58">
      <c r="A58" s="69">
        <v>46143.0</v>
      </c>
      <c r="B58" s="59" t="s">
        <v>1432</v>
      </c>
      <c r="C58" s="59" t="s">
        <v>1491</v>
      </c>
      <c r="D58" s="61">
        <v>33591.0</v>
      </c>
      <c r="E58" s="59" t="s">
        <v>1492</v>
      </c>
      <c r="F58" s="59" t="s">
        <v>55</v>
      </c>
      <c r="G58" s="62"/>
      <c r="H58" s="62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</row>
    <row r="59">
      <c r="A59" s="69">
        <v>46143.0</v>
      </c>
      <c r="B59" s="59" t="s">
        <v>1432</v>
      </c>
      <c r="C59" s="59" t="s">
        <v>1493</v>
      </c>
      <c r="D59" s="58">
        <v>34177.0</v>
      </c>
      <c r="E59" s="59" t="s">
        <v>1492</v>
      </c>
      <c r="F59" s="59" t="s">
        <v>55</v>
      </c>
      <c r="G59" s="62"/>
      <c r="H59" s="62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</row>
    <row r="60">
      <c r="A60" s="69">
        <v>46143.0</v>
      </c>
      <c r="B60" s="59" t="s">
        <v>1432</v>
      </c>
      <c r="C60" s="59" t="s">
        <v>1494</v>
      </c>
      <c r="D60" s="58">
        <v>32247.0</v>
      </c>
      <c r="E60" s="59" t="s">
        <v>1492</v>
      </c>
      <c r="F60" s="59" t="s">
        <v>55</v>
      </c>
      <c r="G60" s="62"/>
      <c r="H60" s="62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</row>
    <row r="61">
      <c r="A61" s="69">
        <v>46143.0</v>
      </c>
      <c r="B61" s="59" t="s">
        <v>1432</v>
      </c>
      <c r="C61" s="59" t="s">
        <v>1495</v>
      </c>
      <c r="D61" s="58">
        <v>21252.0</v>
      </c>
      <c r="E61" s="59" t="s">
        <v>1492</v>
      </c>
      <c r="F61" s="59" t="s">
        <v>55</v>
      </c>
      <c r="G61" s="62"/>
      <c r="H61" s="62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</row>
    <row r="62">
      <c r="A62" s="69">
        <v>46143.0</v>
      </c>
      <c r="B62" s="59" t="s">
        <v>1432</v>
      </c>
      <c r="C62" s="59" t="s">
        <v>1496</v>
      </c>
      <c r="D62" s="58">
        <v>23459.0</v>
      </c>
      <c r="E62" s="59" t="s">
        <v>54</v>
      </c>
      <c r="F62" s="59" t="s">
        <v>55</v>
      </c>
      <c r="G62" s="62"/>
      <c r="H62" s="62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</row>
    <row r="63">
      <c r="A63" s="69">
        <v>46143.0</v>
      </c>
      <c r="B63" s="59" t="s">
        <v>1432</v>
      </c>
      <c r="C63" s="59" t="s">
        <v>1497</v>
      </c>
      <c r="D63" s="61">
        <v>27757.0</v>
      </c>
      <c r="E63" s="59" t="s">
        <v>54</v>
      </c>
      <c r="F63" s="59" t="s">
        <v>55</v>
      </c>
      <c r="G63" s="62"/>
      <c r="H63" s="62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</row>
    <row r="64">
      <c r="A64" s="69">
        <v>46143.0</v>
      </c>
      <c r="B64" s="59" t="s">
        <v>1432</v>
      </c>
      <c r="C64" s="59" t="s">
        <v>1498</v>
      </c>
      <c r="D64" s="58">
        <v>30135.0</v>
      </c>
      <c r="E64" s="59" t="s">
        <v>54</v>
      </c>
      <c r="F64" s="59" t="s">
        <v>55</v>
      </c>
      <c r="G64" s="62"/>
      <c r="H64" s="62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</row>
    <row r="65">
      <c r="A65" s="69">
        <v>46143.0</v>
      </c>
      <c r="B65" s="59" t="s">
        <v>1432</v>
      </c>
      <c r="C65" s="59" t="s">
        <v>1499</v>
      </c>
      <c r="D65" s="58">
        <v>23021.0</v>
      </c>
      <c r="E65" s="59" t="s">
        <v>54</v>
      </c>
      <c r="F65" s="59" t="s">
        <v>55</v>
      </c>
      <c r="G65" s="62"/>
      <c r="H65" s="62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</row>
    <row r="66">
      <c r="A66" s="69">
        <v>46143.0</v>
      </c>
      <c r="B66" s="59" t="s">
        <v>1432</v>
      </c>
      <c r="C66" s="59" t="s">
        <v>1500</v>
      </c>
      <c r="D66" s="61">
        <v>33161.0</v>
      </c>
      <c r="E66" s="59" t="s">
        <v>54</v>
      </c>
      <c r="F66" s="59" t="s">
        <v>55</v>
      </c>
      <c r="G66" s="62"/>
      <c r="H66" s="62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</row>
    <row r="67">
      <c r="A67" s="69">
        <v>46143.0</v>
      </c>
      <c r="B67" s="59" t="s">
        <v>1432</v>
      </c>
      <c r="C67" s="59" t="s">
        <v>1501</v>
      </c>
      <c r="D67" s="61">
        <v>31742.0</v>
      </c>
      <c r="E67" s="59" t="s">
        <v>54</v>
      </c>
      <c r="F67" s="59" t="s">
        <v>55</v>
      </c>
      <c r="G67" s="62"/>
      <c r="H67" s="62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</row>
    <row r="68">
      <c r="A68" s="69">
        <v>46143.0</v>
      </c>
      <c r="B68" s="59" t="s">
        <v>1432</v>
      </c>
      <c r="C68" s="59" t="s">
        <v>1502</v>
      </c>
      <c r="D68" s="58">
        <v>33690.0</v>
      </c>
      <c r="E68" s="59" t="s">
        <v>54</v>
      </c>
      <c r="F68" s="59" t="s">
        <v>55</v>
      </c>
      <c r="G68" s="62"/>
      <c r="H68" s="62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>
      <c r="A69" s="69">
        <v>46143.0</v>
      </c>
      <c r="B69" s="59" t="s">
        <v>1432</v>
      </c>
      <c r="C69" s="59" t="s">
        <v>1503</v>
      </c>
      <c r="D69" s="58">
        <v>33626.0</v>
      </c>
      <c r="E69" s="59" t="s">
        <v>54</v>
      </c>
      <c r="F69" s="59" t="s">
        <v>55</v>
      </c>
      <c r="G69" s="62"/>
      <c r="H69" s="62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>
      <c r="A70" s="69">
        <v>46143.0</v>
      </c>
      <c r="B70" s="59" t="s">
        <v>1432</v>
      </c>
      <c r="C70" s="70" t="s">
        <v>1504</v>
      </c>
      <c r="D70" s="61">
        <v>33161.0</v>
      </c>
      <c r="E70" s="59" t="s">
        <v>54</v>
      </c>
      <c r="F70" s="59" t="s">
        <v>55</v>
      </c>
      <c r="G70" s="62"/>
      <c r="H70" s="62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>
      <c r="A71" s="69">
        <v>46143.0</v>
      </c>
      <c r="B71" s="59" t="s">
        <v>1432</v>
      </c>
      <c r="C71" s="59" t="s">
        <v>1505</v>
      </c>
      <c r="D71" s="58">
        <v>26032.0</v>
      </c>
      <c r="E71" s="59" t="s">
        <v>54</v>
      </c>
      <c r="F71" s="59" t="s">
        <v>55</v>
      </c>
      <c r="G71" s="62"/>
      <c r="H71" s="62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</row>
    <row r="72">
      <c r="A72" s="69">
        <v>46143.0</v>
      </c>
      <c r="B72" s="59" t="s">
        <v>1432</v>
      </c>
      <c r="C72" s="59" t="s">
        <v>1506</v>
      </c>
      <c r="D72" s="58">
        <v>29091.0</v>
      </c>
      <c r="E72" s="59" t="s">
        <v>54</v>
      </c>
      <c r="F72" s="59" t="s">
        <v>55</v>
      </c>
      <c r="G72" s="62"/>
      <c r="H72" s="62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</row>
    <row r="73">
      <c r="A73" s="71">
        <v>46148.0</v>
      </c>
      <c r="B73" s="59" t="s">
        <v>1432</v>
      </c>
      <c r="C73" s="60" t="s">
        <v>1507</v>
      </c>
      <c r="D73" s="61">
        <v>32837.0</v>
      </c>
      <c r="E73" s="59" t="s">
        <v>81</v>
      </c>
      <c r="F73" s="59" t="s">
        <v>55</v>
      </c>
      <c r="G73" s="62"/>
      <c r="H73" s="62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</row>
    <row r="74">
      <c r="A74" s="71">
        <v>46148.0</v>
      </c>
      <c r="B74" s="59" t="s">
        <v>1432</v>
      </c>
      <c r="C74" s="60" t="s">
        <v>1508</v>
      </c>
      <c r="D74" s="58">
        <v>33151.0</v>
      </c>
      <c r="E74" s="59" t="s">
        <v>81</v>
      </c>
      <c r="F74" s="59" t="s">
        <v>55</v>
      </c>
      <c r="G74" s="62"/>
      <c r="H74" s="62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</row>
    <row r="75">
      <c r="A75" s="71">
        <v>46148.0</v>
      </c>
      <c r="B75" s="59" t="s">
        <v>1432</v>
      </c>
      <c r="C75" s="60" t="s">
        <v>1509</v>
      </c>
      <c r="D75" s="58">
        <v>32874.0</v>
      </c>
      <c r="E75" s="59" t="s">
        <v>81</v>
      </c>
      <c r="F75" s="59" t="s">
        <v>55</v>
      </c>
      <c r="G75" s="62"/>
      <c r="H75" s="62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</row>
    <row r="76">
      <c r="A76" s="71">
        <v>46148.0</v>
      </c>
      <c r="B76" s="59" t="s">
        <v>1432</v>
      </c>
      <c r="C76" s="60" t="s">
        <v>1510</v>
      </c>
      <c r="D76" s="58">
        <v>25223.0</v>
      </c>
      <c r="E76" s="59" t="s">
        <v>81</v>
      </c>
      <c r="F76" s="59" t="s">
        <v>55</v>
      </c>
      <c r="G76" s="62"/>
      <c r="H76" s="62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</row>
    <row r="77">
      <c r="A77" s="71">
        <v>46148.0</v>
      </c>
      <c r="B77" s="59" t="s">
        <v>1432</v>
      </c>
      <c r="C77" s="60" t="s">
        <v>1511</v>
      </c>
      <c r="D77" s="59" t="s">
        <v>1512</v>
      </c>
      <c r="E77" s="59" t="s">
        <v>81</v>
      </c>
      <c r="F77" s="59" t="s">
        <v>55</v>
      </c>
      <c r="G77" s="62"/>
      <c r="H77" s="62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</row>
    <row r="78">
      <c r="A78" s="71">
        <v>46148.0</v>
      </c>
      <c r="B78" s="59" t="s">
        <v>1432</v>
      </c>
      <c r="C78" s="60" t="s">
        <v>1513</v>
      </c>
      <c r="D78" s="58">
        <v>24850.0</v>
      </c>
      <c r="E78" s="59" t="s">
        <v>81</v>
      </c>
      <c r="F78" s="59" t="s">
        <v>55</v>
      </c>
      <c r="G78" s="62"/>
      <c r="H78" s="62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</row>
    <row r="79">
      <c r="A79" s="71">
        <v>46148.0</v>
      </c>
      <c r="B79" s="59" t="s">
        <v>1432</v>
      </c>
      <c r="C79" s="60" t="s">
        <v>1514</v>
      </c>
      <c r="D79" s="58">
        <v>24385.0</v>
      </c>
      <c r="E79" s="59" t="s">
        <v>81</v>
      </c>
      <c r="F79" s="59" t="s">
        <v>55</v>
      </c>
      <c r="G79" s="62"/>
      <c r="H79" s="62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</row>
    <row r="80">
      <c r="A80" s="71">
        <v>46148.0</v>
      </c>
      <c r="B80" s="59" t="s">
        <v>1432</v>
      </c>
      <c r="C80" s="60" t="s">
        <v>1515</v>
      </c>
      <c r="D80" s="58">
        <v>36337.0</v>
      </c>
      <c r="E80" s="59" t="s">
        <v>81</v>
      </c>
      <c r="F80" s="59" t="s">
        <v>55</v>
      </c>
      <c r="G80" s="62"/>
      <c r="H80" s="62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</row>
    <row r="81">
      <c r="A81" s="71">
        <v>46148.0</v>
      </c>
      <c r="B81" s="59" t="s">
        <v>1432</v>
      </c>
      <c r="C81" s="60" t="s">
        <v>1516</v>
      </c>
      <c r="D81" s="58">
        <v>26246.0</v>
      </c>
      <c r="E81" s="59" t="s">
        <v>81</v>
      </c>
      <c r="F81" s="59" t="s">
        <v>55</v>
      </c>
      <c r="G81" s="62"/>
      <c r="H81" s="62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</row>
    <row r="82">
      <c r="A82" s="71">
        <v>46148.0</v>
      </c>
      <c r="B82" s="59" t="s">
        <v>1432</v>
      </c>
      <c r="C82" s="60" t="s">
        <v>1517</v>
      </c>
      <c r="D82" s="58">
        <v>26477.0</v>
      </c>
      <c r="E82" s="59" t="s">
        <v>81</v>
      </c>
      <c r="F82" s="59" t="s">
        <v>55</v>
      </c>
      <c r="G82" s="62"/>
      <c r="H82" s="62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</row>
    <row r="83">
      <c r="A83" s="71">
        <v>46148.0</v>
      </c>
      <c r="B83" s="59" t="s">
        <v>1432</v>
      </c>
      <c r="C83" s="60" t="s">
        <v>1518</v>
      </c>
      <c r="D83" s="61">
        <v>27025.0</v>
      </c>
      <c r="E83" s="59" t="s">
        <v>81</v>
      </c>
      <c r="F83" s="59" t="s">
        <v>55</v>
      </c>
      <c r="G83" s="62"/>
      <c r="H83" s="62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</row>
    <row r="84">
      <c r="A84" s="71">
        <v>46148.0</v>
      </c>
      <c r="B84" s="59" t="s">
        <v>1432</v>
      </c>
      <c r="C84" s="60" t="s">
        <v>1519</v>
      </c>
      <c r="D84" s="58">
        <v>37331.0</v>
      </c>
      <c r="E84" s="59" t="s">
        <v>81</v>
      </c>
      <c r="F84" s="59" t="s">
        <v>55</v>
      </c>
      <c r="G84" s="62"/>
      <c r="H84" s="62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</row>
    <row r="85">
      <c r="A85" s="71">
        <v>46148.0</v>
      </c>
      <c r="B85" s="59" t="s">
        <v>1432</v>
      </c>
      <c r="C85" s="60" t="s">
        <v>1520</v>
      </c>
      <c r="D85" s="58">
        <v>34458.0</v>
      </c>
      <c r="E85" s="59" t="s">
        <v>81</v>
      </c>
      <c r="F85" s="59" t="s">
        <v>55</v>
      </c>
      <c r="G85" s="62"/>
      <c r="H85" s="62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</row>
    <row r="86">
      <c r="A86" s="71">
        <v>46148.0</v>
      </c>
      <c r="B86" s="59" t="s">
        <v>1432</v>
      </c>
      <c r="C86" s="60" t="s">
        <v>1521</v>
      </c>
      <c r="D86" s="58">
        <v>28171.0</v>
      </c>
      <c r="E86" s="59" t="s">
        <v>81</v>
      </c>
      <c r="F86" s="59" t="s">
        <v>55</v>
      </c>
      <c r="G86" s="62"/>
      <c r="H86" s="62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</row>
    <row r="87">
      <c r="A87" s="71">
        <v>46148.0</v>
      </c>
      <c r="B87" s="59" t="s">
        <v>1432</v>
      </c>
      <c r="C87" s="60" t="s">
        <v>1522</v>
      </c>
      <c r="D87" s="58">
        <v>24915.0</v>
      </c>
      <c r="E87" s="59" t="s">
        <v>81</v>
      </c>
      <c r="F87" s="59" t="s">
        <v>55</v>
      </c>
      <c r="G87" s="62"/>
      <c r="H87" s="62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</row>
    <row r="88">
      <c r="A88" s="71">
        <v>46148.0</v>
      </c>
      <c r="B88" s="59" t="s">
        <v>1432</v>
      </c>
      <c r="C88" s="60" t="s">
        <v>1523</v>
      </c>
      <c r="D88" s="61">
        <v>33190.0</v>
      </c>
      <c r="E88" s="59" t="s">
        <v>81</v>
      </c>
      <c r="F88" s="59" t="s">
        <v>55</v>
      </c>
      <c r="G88" s="62"/>
      <c r="H88" s="62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</row>
    <row r="89">
      <c r="A89" s="72">
        <v>46149.0</v>
      </c>
      <c r="B89" s="59" t="s">
        <v>1432</v>
      </c>
      <c r="C89" s="60" t="s">
        <v>1524</v>
      </c>
      <c r="D89" s="61">
        <v>22804.0</v>
      </c>
      <c r="E89" s="59" t="s">
        <v>81</v>
      </c>
      <c r="F89" s="59" t="s">
        <v>55</v>
      </c>
      <c r="G89" s="62"/>
      <c r="H89" s="62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</row>
    <row r="90">
      <c r="A90" s="72">
        <v>46149.0</v>
      </c>
      <c r="B90" s="59" t="s">
        <v>1432</v>
      </c>
      <c r="C90" s="60" t="s">
        <v>1525</v>
      </c>
      <c r="D90" s="58">
        <v>26392.0</v>
      </c>
      <c r="E90" s="59" t="s">
        <v>81</v>
      </c>
      <c r="F90" s="59" t="s">
        <v>55</v>
      </c>
      <c r="G90" s="62"/>
      <c r="H90" s="62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</row>
    <row r="91">
      <c r="A91" s="72">
        <v>46149.0</v>
      </c>
      <c r="B91" s="59" t="s">
        <v>1432</v>
      </c>
      <c r="C91" s="60" t="s">
        <v>1526</v>
      </c>
      <c r="D91" s="59" t="s">
        <v>1527</v>
      </c>
      <c r="E91" s="59" t="s">
        <v>81</v>
      </c>
      <c r="F91" s="59" t="s">
        <v>55</v>
      </c>
      <c r="G91" s="62"/>
      <c r="H91" s="62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</row>
    <row r="92">
      <c r="A92" s="72">
        <v>46149.0</v>
      </c>
      <c r="B92" s="59" t="s">
        <v>1432</v>
      </c>
      <c r="C92" s="60" t="s">
        <v>1528</v>
      </c>
      <c r="D92" s="59" t="s">
        <v>1529</v>
      </c>
      <c r="E92" s="59" t="s">
        <v>81</v>
      </c>
      <c r="F92" s="59" t="s">
        <v>55</v>
      </c>
      <c r="G92" s="62"/>
      <c r="H92" s="62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</row>
    <row r="93">
      <c r="A93" s="72">
        <v>46149.0</v>
      </c>
      <c r="B93" s="59" t="s">
        <v>1432</v>
      </c>
      <c r="C93" s="60" t="s">
        <v>1530</v>
      </c>
      <c r="D93" s="61">
        <v>32138.0</v>
      </c>
      <c r="E93" s="59" t="s">
        <v>81</v>
      </c>
      <c r="F93" s="59" t="s">
        <v>55</v>
      </c>
      <c r="G93" s="62"/>
      <c r="H93" s="62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</row>
    <row r="94">
      <c r="A94" s="72">
        <v>46149.0</v>
      </c>
      <c r="B94" s="59" t="s">
        <v>1432</v>
      </c>
      <c r="C94" s="60" t="s">
        <v>1531</v>
      </c>
      <c r="D94" s="58">
        <v>27650.0</v>
      </c>
      <c r="E94" s="59" t="s">
        <v>81</v>
      </c>
      <c r="F94" s="59" t="s">
        <v>55</v>
      </c>
      <c r="G94" s="62"/>
      <c r="H94" s="62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</row>
    <row r="95">
      <c r="A95" s="72">
        <v>46149.0</v>
      </c>
      <c r="B95" s="59" t="s">
        <v>1432</v>
      </c>
      <c r="C95" s="60" t="s">
        <v>1532</v>
      </c>
      <c r="D95" s="59" t="s">
        <v>1533</v>
      </c>
      <c r="E95" s="59" t="s">
        <v>81</v>
      </c>
      <c r="F95" s="59" t="s">
        <v>55</v>
      </c>
      <c r="G95" s="62"/>
      <c r="H95" s="62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</row>
    <row r="96">
      <c r="A96" s="72">
        <v>46149.0</v>
      </c>
      <c r="B96" s="59" t="s">
        <v>1432</v>
      </c>
      <c r="C96" s="60" t="s">
        <v>1534</v>
      </c>
      <c r="D96" s="61">
        <v>36079.0</v>
      </c>
      <c r="E96" s="59" t="s">
        <v>81</v>
      </c>
      <c r="F96" s="59" t="s">
        <v>55</v>
      </c>
      <c r="G96" s="62"/>
      <c r="H96" s="62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</row>
    <row r="97">
      <c r="A97" s="72">
        <v>46149.0</v>
      </c>
      <c r="B97" s="59" t="s">
        <v>1432</v>
      </c>
      <c r="C97" s="60" t="s">
        <v>1535</v>
      </c>
      <c r="D97" s="58">
        <v>27838.0</v>
      </c>
      <c r="E97" s="59" t="s">
        <v>81</v>
      </c>
      <c r="F97" s="59" t="s">
        <v>55</v>
      </c>
      <c r="G97" s="62"/>
      <c r="H97" s="62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</row>
    <row r="98">
      <c r="A98" s="72">
        <v>46149.0</v>
      </c>
      <c r="B98" s="59" t="s">
        <v>1432</v>
      </c>
      <c r="C98" s="60" t="s">
        <v>1536</v>
      </c>
      <c r="D98" s="58">
        <v>25245.0</v>
      </c>
      <c r="E98" s="59" t="s">
        <v>81</v>
      </c>
      <c r="F98" s="59" t="s">
        <v>55</v>
      </c>
      <c r="G98" s="62"/>
      <c r="H98" s="62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</row>
    <row r="99">
      <c r="A99" s="72">
        <v>46149.0</v>
      </c>
      <c r="B99" s="59" t="s">
        <v>1432</v>
      </c>
      <c r="C99" s="60" t="s">
        <v>1537</v>
      </c>
      <c r="D99" s="58">
        <v>27648.0</v>
      </c>
      <c r="E99" s="59" t="s">
        <v>81</v>
      </c>
      <c r="F99" s="59" t="s">
        <v>55</v>
      </c>
      <c r="G99" s="62"/>
      <c r="H99" s="62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</row>
    <row r="100">
      <c r="A100" s="72">
        <v>46149.0</v>
      </c>
      <c r="B100" s="59" t="s">
        <v>1432</v>
      </c>
      <c r="C100" s="60" t="s">
        <v>1538</v>
      </c>
      <c r="D100" s="58">
        <v>26418.0</v>
      </c>
      <c r="E100" s="59" t="s">
        <v>81</v>
      </c>
      <c r="F100" s="59" t="s">
        <v>55</v>
      </c>
      <c r="G100" s="62"/>
      <c r="H100" s="62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</row>
    <row r="101">
      <c r="A101" s="72">
        <v>46149.0</v>
      </c>
      <c r="B101" s="59" t="s">
        <v>1432</v>
      </c>
      <c r="C101" s="60" t="s">
        <v>1539</v>
      </c>
      <c r="D101" s="58">
        <v>26726.0</v>
      </c>
      <c r="E101" s="59" t="s">
        <v>81</v>
      </c>
      <c r="F101" s="59" t="s">
        <v>55</v>
      </c>
      <c r="G101" s="62"/>
      <c r="H101" s="62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</row>
    <row r="102">
      <c r="A102" s="72">
        <v>46149.0</v>
      </c>
      <c r="B102" s="59" t="s">
        <v>1432</v>
      </c>
      <c r="C102" s="60" t="s">
        <v>1540</v>
      </c>
      <c r="D102" s="58">
        <v>27468.0</v>
      </c>
      <c r="E102" s="59" t="s">
        <v>81</v>
      </c>
      <c r="F102" s="59" t="s">
        <v>55</v>
      </c>
      <c r="G102" s="62"/>
      <c r="H102" s="62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</row>
    <row r="103">
      <c r="A103" s="72">
        <v>46149.0</v>
      </c>
      <c r="B103" s="59" t="s">
        <v>1432</v>
      </c>
      <c r="C103" s="60" t="s">
        <v>1541</v>
      </c>
      <c r="D103" s="58">
        <v>23213.0</v>
      </c>
      <c r="E103" s="59" t="s">
        <v>81</v>
      </c>
      <c r="F103" s="59" t="s">
        <v>55</v>
      </c>
      <c r="G103" s="62"/>
      <c r="H103" s="62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</row>
    <row r="104">
      <c r="A104" s="72">
        <v>46149.0</v>
      </c>
      <c r="B104" s="59" t="s">
        <v>1432</v>
      </c>
      <c r="C104" s="60" t="s">
        <v>1542</v>
      </c>
      <c r="D104" s="58">
        <v>32150.0</v>
      </c>
      <c r="E104" s="59" t="s">
        <v>86</v>
      </c>
      <c r="F104" s="59" t="s">
        <v>55</v>
      </c>
      <c r="G104" s="62"/>
      <c r="H104" s="62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</row>
    <row r="105">
      <c r="A105" s="72">
        <v>46149.0</v>
      </c>
      <c r="B105" s="59" t="s">
        <v>1432</v>
      </c>
      <c r="C105" s="60" t="s">
        <v>1543</v>
      </c>
      <c r="D105" s="59" t="s">
        <v>1544</v>
      </c>
      <c r="E105" s="59" t="s">
        <v>86</v>
      </c>
      <c r="F105" s="59" t="s">
        <v>55</v>
      </c>
      <c r="G105" s="62"/>
      <c r="H105" s="62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</row>
    <row r="106">
      <c r="A106" s="72">
        <v>46149.0</v>
      </c>
      <c r="B106" s="59" t="s">
        <v>1432</v>
      </c>
      <c r="C106" s="60" t="s">
        <v>1545</v>
      </c>
      <c r="D106" s="58">
        <v>24582.0</v>
      </c>
      <c r="E106" s="59" t="s">
        <v>86</v>
      </c>
      <c r="F106" s="59" t="s">
        <v>55</v>
      </c>
      <c r="G106" s="62"/>
      <c r="H106" s="62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</row>
    <row r="107">
      <c r="A107" s="72">
        <v>46149.0</v>
      </c>
      <c r="B107" s="59" t="s">
        <v>1432</v>
      </c>
      <c r="C107" s="60" t="s">
        <v>1546</v>
      </c>
      <c r="D107" s="58">
        <v>35813.0</v>
      </c>
      <c r="E107" s="59" t="s">
        <v>74</v>
      </c>
      <c r="F107" s="59" t="s">
        <v>55</v>
      </c>
      <c r="G107" s="62"/>
      <c r="H107" s="62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</row>
    <row r="108">
      <c r="A108" s="72">
        <v>46149.0</v>
      </c>
      <c r="B108" s="59" t="s">
        <v>1432</v>
      </c>
      <c r="C108" s="60" t="s">
        <v>1547</v>
      </c>
      <c r="D108" s="58">
        <v>29068.0</v>
      </c>
      <c r="E108" s="59" t="s">
        <v>74</v>
      </c>
      <c r="F108" s="59" t="s">
        <v>55</v>
      </c>
      <c r="G108" s="62"/>
      <c r="H108" s="62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</row>
    <row r="109">
      <c r="A109" s="72">
        <v>46149.0</v>
      </c>
      <c r="B109" s="59" t="s">
        <v>1432</v>
      </c>
      <c r="C109" s="60" t="s">
        <v>1548</v>
      </c>
      <c r="D109" s="58">
        <v>38750.0</v>
      </c>
      <c r="E109" s="59" t="s">
        <v>74</v>
      </c>
      <c r="F109" s="59" t="s">
        <v>55</v>
      </c>
      <c r="G109" s="62"/>
      <c r="H109" s="62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</row>
    <row r="110">
      <c r="A110" s="72">
        <v>46149.0</v>
      </c>
      <c r="B110" s="59" t="s">
        <v>1432</v>
      </c>
      <c r="C110" s="60" t="s">
        <v>1549</v>
      </c>
      <c r="D110" s="58">
        <v>32628.0</v>
      </c>
      <c r="E110" s="59" t="s">
        <v>74</v>
      </c>
      <c r="F110" s="59" t="s">
        <v>55</v>
      </c>
      <c r="G110" s="62"/>
      <c r="H110" s="62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</row>
    <row r="111">
      <c r="A111" s="72">
        <v>46149.0</v>
      </c>
      <c r="B111" s="59" t="s">
        <v>1432</v>
      </c>
      <c r="C111" s="60" t="s">
        <v>1550</v>
      </c>
      <c r="D111" s="61">
        <v>24030.0</v>
      </c>
      <c r="E111" s="59" t="s">
        <v>74</v>
      </c>
      <c r="F111" s="59" t="s">
        <v>55</v>
      </c>
      <c r="G111" s="62"/>
      <c r="H111" s="62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</row>
    <row r="112">
      <c r="A112" s="72">
        <v>46149.0</v>
      </c>
      <c r="B112" s="59" t="s">
        <v>1432</v>
      </c>
      <c r="C112" s="60" t="s">
        <v>1551</v>
      </c>
      <c r="D112" s="58">
        <v>25822.0</v>
      </c>
      <c r="E112" s="59" t="s">
        <v>74</v>
      </c>
      <c r="F112" s="59" t="s">
        <v>55</v>
      </c>
      <c r="G112" s="62"/>
      <c r="H112" s="62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</row>
    <row r="113">
      <c r="A113" s="72">
        <v>46149.0</v>
      </c>
      <c r="B113" s="59" t="s">
        <v>1432</v>
      </c>
      <c r="C113" s="60" t="s">
        <v>1552</v>
      </c>
      <c r="D113" s="59" t="s">
        <v>1553</v>
      </c>
      <c r="E113" s="59" t="s">
        <v>74</v>
      </c>
      <c r="F113" s="59" t="s">
        <v>55</v>
      </c>
      <c r="G113" s="62"/>
      <c r="H113" s="62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</row>
    <row r="114">
      <c r="A114" s="72">
        <v>46149.0</v>
      </c>
      <c r="B114" s="59" t="s">
        <v>1432</v>
      </c>
      <c r="C114" s="59" t="s">
        <v>1554</v>
      </c>
      <c r="D114" s="58">
        <v>31246.0</v>
      </c>
      <c r="E114" s="59" t="s">
        <v>54</v>
      </c>
      <c r="F114" s="59" t="s">
        <v>55</v>
      </c>
      <c r="G114" s="62"/>
      <c r="H114" s="62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</row>
    <row r="115">
      <c r="A115" s="73">
        <v>46150.0</v>
      </c>
      <c r="B115" s="59" t="s">
        <v>1432</v>
      </c>
      <c r="C115" s="59" t="s">
        <v>1555</v>
      </c>
      <c r="D115" s="58">
        <v>33042.0</v>
      </c>
      <c r="E115" s="59" t="s">
        <v>81</v>
      </c>
      <c r="F115" s="59" t="s">
        <v>55</v>
      </c>
      <c r="G115" s="62"/>
      <c r="H115" s="62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</row>
    <row r="116">
      <c r="A116" s="73">
        <v>46150.0</v>
      </c>
      <c r="B116" s="59" t="s">
        <v>1432</v>
      </c>
      <c r="C116" s="59" t="s">
        <v>1556</v>
      </c>
      <c r="D116" s="58">
        <v>24875.0</v>
      </c>
      <c r="E116" s="59" t="s">
        <v>81</v>
      </c>
      <c r="F116" s="59" t="s">
        <v>55</v>
      </c>
      <c r="G116" s="62"/>
      <c r="H116" s="62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</row>
    <row r="117">
      <c r="A117" s="73">
        <v>46150.0</v>
      </c>
      <c r="B117" s="59" t="s">
        <v>1432</v>
      </c>
      <c r="C117" s="59" t="s">
        <v>1557</v>
      </c>
      <c r="D117" s="58">
        <v>32313.0</v>
      </c>
      <c r="E117" s="59" t="s">
        <v>81</v>
      </c>
      <c r="F117" s="59" t="s">
        <v>55</v>
      </c>
      <c r="G117" s="62"/>
      <c r="H117" s="62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</row>
    <row r="118">
      <c r="A118" s="73">
        <v>46150.0</v>
      </c>
      <c r="B118" s="59" t="s">
        <v>1432</v>
      </c>
      <c r="C118" s="59" t="s">
        <v>1558</v>
      </c>
      <c r="D118" s="61">
        <v>20453.0</v>
      </c>
      <c r="E118" s="59" t="s">
        <v>81</v>
      </c>
      <c r="F118" s="59" t="s">
        <v>55</v>
      </c>
      <c r="G118" s="62"/>
      <c r="H118" s="62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</row>
    <row r="119">
      <c r="A119" s="73">
        <v>46150.0</v>
      </c>
      <c r="B119" s="59" t="s">
        <v>1432</v>
      </c>
      <c r="C119" s="59" t="s">
        <v>1559</v>
      </c>
      <c r="D119" s="58">
        <v>33123.0</v>
      </c>
      <c r="E119" s="59" t="s">
        <v>81</v>
      </c>
      <c r="F119" s="59" t="s">
        <v>55</v>
      </c>
      <c r="G119" s="62"/>
      <c r="H119" s="62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</row>
    <row r="120">
      <c r="A120" s="73">
        <v>46150.0</v>
      </c>
      <c r="B120" s="59" t="s">
        <v>1432</v>
      </c>
      <c r="C120" s="59" t="s">
        <v>1560</v>
      </c>
      <c r="D120" s="58">
        <v>36404.0</v>
      </c>
      <c r="E120" s="59" t="s">
        <v>81</v>
      </c>
      <c r="F120" s="59" t="s">
        <v>55</v>
      </c>
      <c r="G120" s="62"/>
      <c r="H120" s="62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</row>
    <row r="121">
      <c r="A121" s="73">
        <v>46150.0</v>
      </c>
      <c r="B121" s="59" t="s">
        <v>1432</v>
      </c>
      <c r="C121" s="59" t="s">
        <v>1561</v>
      </c>
      <c r="D121" s="58">
        <v>25317.0</v>
      </c>
      <c r="E121" s="59" t="s">
        <v>81</v>
      </c>
      <c r="F121" s="59" t="s">
        <v>55</v>
      </c>
      <c r="G121" s="62"/>
      <c r="H121" s="62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</row>
    <row r="122">
      <c r="A122" s="73">
        <v>46150.0</v>
      </c>
      <c r="B122" s="59" t="s">
        <v>1432</v>
      </c>
      <c r="C122" s="59" t="s">
        <v>1562</v>
      </c>
      <c r="D122" s="61">
        <v>26663.0</v>
      </c>
      <c r="E122" s="59" t="s">
        <v>81</v>
      </c>
      <c r="F122" s="59" t="s">
        <v>55</v>
      </c>
      <c r="G122" s="62"/>
      <c r="H122" s="62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</row>
    <row r="123">
      <c r="A123" s="73">
        <v>46150.0</v>
      </c>
      <c r="B123" s="59" t="s">
        <v>1432</v>
      </c>
      <c r="C123" s="59" t="s">
        <v>1563</v>
      </c>
      <c r="D123" s="58">
        <v>28328.0</v>
      </c>
      <c r="E123" s="59" t="s">
        <v>81</v>
      </c>
      <c r="F123" s="59" t="s">
        <v>55</v>
      </c>
      <c r="G123" s="62"/>
      <c r="H123" s="62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</row>
    <row r="124">
      <c r="A124" s="73">
        <v>46150.0</v>
      </c>
      <c r="B124" s="59" t="s">
        <v>1432</v>
      </c>
      <c r="C124" s="59" t="s">
        <v>1564</v>
      </c>
      <c r="D124" s="58">
        <v>26122.0</v>
      </c>
      <c r="E124" s="59" t="s">
        <v>81</v>
      </c>
      <c r="F124" s="59" t="s">
        <v>55</v>
      </c>
      <c r="G124" s="62"/>
      <c r="H124" s="62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</row>
    <row r="125">
      <c r="A125" s="73">
        <v>46150.0</v>
      </c>
      <c r="B125" s="59" t="s">
        <v>1432</v>
      </c>
      <c r="C125" s="59" t="s">
        <v>1565</v>
      </c>
      <c r="D125" s="58">
        <v>23475.0</v>
      </c>
      <c r="E125" s="59" t="s">
        <v>81</v>
      </c>
      <c r="F125" s="59" t="s">
        <v>55</v>
      </c>
      <c r="G125" s="62"/>
      <c r="H125" s="62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</row>
    <row r="126">
      <c r="A126" s="73">
        <v>46150.0</v>
      </c>
      <c r="B126" s="59" t="s">
        <v>1566</v>
      </c>
      <c r="C126" s="59" t="s">
        <v>1567</v>
      </c>
      <c r="D126" s="58">
        <v>26037.0</v>
      </c>
      <c r="E126" s="59" t="s">
        <v>81</v>
      </c>
      <c r="F126" s="59" t="s">
        <v>55</v>
      </c>
      <c r="G126" s="62"/>
      <c r="H126" s="62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</row>
    <row r="127">
      <c r="A127" s="73">
        <v>46150.0</v>
      </c>
      <c r="B127" s="59" t="s">
        <v>1566</v>
      </c>
      <c r="C127" s="59" t="s">
        <v>1568</v>
      </c>
      <c r="D127" s="58">
        <v>36355.0</v>
      </c>
      <c r="E127" s="59" t="s">
        <v>74</v>
      </c>
      <c r="F127" s="59" t="s">
        <v>55</v>
      </c>
      <c r="G127" s="62"/>
      <c r="H127" s="62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</row>
    <row r="128">
      <c r="A128" s="74">
        <v>46153.0</v>
      </c>
      <c r="B128" s="59" t="s">
        <v>1566</v>
      </c>
      <c r="C128" s="59" t="s">
        <v>1569</v>
      </c>
      <c r="D128" s="58">
        <v>24650.0</v>
      </c>
      <c r="E128" s="59" t="s">
        <v>81</v>
      </c>
      <c r="F128" s="59" t="s">
        <v>55</v>
      </c>
      <c r="G128" s="62"/>
      <c r="H128" s="62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</row>
    <row r="129">
      <c r="A129" s="74">
        <v>46153.0</v>
      </c>
      <c r="B129" s="59" t="s">
        <v>1566</v>
      </c>
      <c r="C129" s="75" t="s">
        <v>1570</v>
      </c>
      <c r="D129" s="58">
        <v>33136.0</v>
      </c>
      <c r="E129" s="59" t="s">
        <v>81</v>
      </c>
      <c r="F129" s="59" t="s">
        <v>55</v>
      </c>
      <c r="G129" s="62"/>
      <c r="H129" s="62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</row>
    <row r="130">
      <c r="A130" s="74">
        <v>46153.0</v>
      </c>
      <c r="B130" s="59" t="s">
        <v>1566</v>
      </c>
      <c r="C130" s="75" t="s">
        <v>1571</v>
      </c>
      <c r="D130" s="58">
        <v>35035.0</v>
      </c>
      <c r="E130" s="59" t="s">
        <v>81</v>
      </c>
      <c r="F130" s="59" t="s">
        <v>55</v>
      </c>
      <c r="G130" s="62"/>
      <c r="H130" s="62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</row>
    <row r="131">
      <c r="A131" s="74">
        <v>46153.0</v>
      </c>
      <c r="B131" s="59" t="s">
        <v>1566</v>
      </c>
      <c r="C131" s="59" t="s">
        <v>1572</v>
      </c>
      <c r="D131" s="58">
        <v>23023.0</v>
      </c>
      <c r="E131" s="59" t="s">
        <v>81</v>
      </c>
      <c r="F131" s="59" t="s">
        <v>55</v>
      </c>
      <c r="G131" s="62"/>
      <c r="H131" s="62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</row>
    <row r="132">
      <c r="A132" s="74">
        <v>46153.0</v>
      </c>
      <c r="B132" s="59" t="s">
        <v>1566</v>
      </c>
      <c r="C132" s="59" t="s">
        <v>1573</v>
      </c>
      <c r="D132" s="58">
        <v>26011.0</v>
      </c>
      <c r="E132" s="59" t="s">
        <v>81</v>
      </c>
      <c r="F132" s="59" t="s">
        <v>55</v>
      </c>
      <c r="G132" s="62"/>
      <c r="H132" s="62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</row>
    <row r="133">
      <c r="A133" s="74">
        <v>46153.0</v>
      </c>
      <c r="B133" s="59" t="s">
        <v>1566</v>
      </c>
      <c r="C133" s="75" t="s">
        <v>1574</v>
      </c>
      <c r="D133" s="59" t="s">
        <v>1575</v>
      </c>
      <c r="E133" s="59" t="s">
        <v>81</v>
      </c>
      <c r="F133" s="59" t="s">
        <v>55</v>
      </c>
      <c r="G133" s="62"/>
      <c r="H133" s="62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</row>
    <row r="134">
      <c r="A134" s="74">
        <v>46153.0</v>
      </c>
      <c r="B134" s="59" t="s">
        <v>1566</v>
      </c>
      <c r="C134" s="75" t="s">
        <v>1576</v>
      </c>
      <c r="D134" s="58">
        <v>35696.0</v>
      </c>
      <c r="E134" s="59" t="s">
        <v>81</v>
      </c>
      <c r="F134" s="59" t="s">
        <v>55</v>
      </c>
      <c r="G134" s="62"/>
      <c r="H134" s="62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</row>
    <row r="135">
      <c r="A135" s="74">
        <v>46153.0</v>
      </c>
      <c r="B135" s="59" t="s">
        <v>1566</v>
      </c>
      <c r="C135" s="59" t="s">
        <v>1577</v>
      </c>
      <c r="D135" s="58">
        <v>23903.0</v>
      </c>
      <c r="E135" s="59" t="s">
        <v>81</v>
      </c>
      <c r="F135" s="59" t="s">
        <v>55</v>
      </c>
      <c r="G135" s="62"/>
      <c r="H135" s="62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</row>
    <row r="136">
      <c r="A136" s="74">
        <v>46153.0</v>
      </c>
      <c r="B136" s="59" t="s">
        <v>1566</v>
      </c>
      <c r="C136" s="59" t="s">
        <v>1578</v>
      </c>
      <c r="D136" s="61">
        <v>35055.0</v>
      </c>
      <c r="E136" s="59" t="s">
        <v>81</v>
      </c>
      <c r="F136" s="59" t="s">
        <v>55</v>
      </c>
      <c r="G136" s="62"/>
      <c r="H136" s="62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</row>
    <row r="137">
      <c r="A137" s="74">
        <v>46153.0</v>
      </c>
      <c r="B137" s="59" t="s">
        <v>1566</v>
      </c>
      <c r="C137" s="59" t="s">
        <v>1579</v>
      </c>
      <c r="D137" s="58">
        <v>36546.0</v>
      </c>
      <c r="E137" s="59" t="s">
        <v>81</v>
      </c>
      <c r="F137" s="59" t="s">
        <v>55</v>
      </c>
      <c r="G137" s="62"/>
      <c r="H137" s="62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</row>
    <row r="138">
      <c r="A138" s="76">
        <v>46154.0</v>
      </c>
      <c r="B138" s="59" t="s">
        <v>1566</v>
      </c>
      <c r="C138" s="59" t="s">
        <v>1580</v>
      </c>
      <c r="D138" s="58">
        <v>28963.0</v>
      </c>
      <c r="E138" s="59" t="s">
        <v>81</v>
      </c>
      <c r="F138" s="59" t="s">
        <v>55</v>
      </c>
      <c r="G138" s="62"/>
      <c r="H138" s="62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</row>
    <row r="139">
      <c r="A139" s="77">
        <v>46154.0</v>
      </c>
      <c r="B139" s="59" t="s">
        <v>1566</v>
      </c>
      <c r="C139" s="59" t="s">
        <v>1581</v>
      </c>
      <c r="D139" s="58">
        <v>31229.0</v>
      </c>
      <c r="E139" s="59" t="s">
        <v>81</v>
      </c>
      <c r="F139" s="59" t="s">
        <v>55</v>
      </c>
      <c r="G139" s="62"/>
      <c r="H139" s="62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</row>
    <row r="140">
      <c r="A140" s="77">
        <v>46154.0</v>
      </c>
      <c r="B140" s="59" t="s">
        <v>1566</v>
      </c>
      <c r="C140" s="59" t="s">
        <v>1582</v>
      </c>
      <c r="D140" s="58">
        <v>32346.0</v>
      </c>
      <c r="E140" s="59" t="s">
        <v>81</v>
      </c>
      <c r="F140" s="59" t="s">
        <v>55</v>
      </c>
      <c r="G140" s="62"/>
      <c r="H140" s="62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</row>
    <row r="141">
      <c r="A141" s="77">
        <v>46154.0</v>
      </c>
      <c r="B141" s="59" t="s">
        <v>1566</v>
      </c>
      <c r="C141" s="59" t="s">
        <v>1583</v>
      </c>
      <c r="D141" s="61">
        <v>46320.0</v>
      </c>
      <c r="E141" s="59" t="s">
        <v>81</v>
      </c>
      <c r="F141" s="59" t="s">
        <v>55</v>
      </c>
      <c r="G141" s="62"/>
      <c r="H141" s="62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</row>
    <row r="142">
      <c r="A142" s="77">
        <v>46154.0</v>
      </c>
      <c r="B142" s="59" t="s">
        <v>1566</v>
      </c>
      <c r="C142" s="59" t="s">
        <v>1584</v>
      </c>
      <c r="D142" s="58">
        <v>25011.0</v>
      </c>
      <c r="E142" s="59" t="s">
        <v>81</v>
      </c>
      <c r="F142" s="59" t="s">
        <v>55</v>
      </c>
      <c r="G142" s="62"/>
      <c r="H142" s="62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</row>
    <row r="143">
      <c r="A143" s="78">
        <v>46154.0</v>
      </c>
      <c r="B143" s="59" t="s">
        <v>1566</v>
      </c>
      <c r="C143" s="59" t="s">
        <v>1585</v>
      </c>
      <c r="D143" s="58">
        <v>25230.0</v>
      </c>
      <c r="E143" s="59" t="s">
        <v>81</v>
      </c>
      <c r="F143" s="59" t="s">
        <v>55</v>
      </c>
      <c r="G143" s="62"/>
      <c r="H143" s="62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</row>
    <row r="144">
      <c r="A144" s="78">
        <v>46154.0</v>
      </c>
      <c r="B144" s="59" t="s">
        <v>1566</v>
      </c>
      <c r="C144" s="59" t="s">
        <v>1586</v>
      </c>
      <c r="D144" s="58">
        <v>33288.0</v>
      </c>
      <c r="E144" s="59" t="s">
        <v>81</v>
      </c>
      <c r="F144" s="59" t="s">
        <v>55</v>
      </c>
      <c r="G144" s="62"/>
      <c r="H144" s="62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</row>
    <row r="145">
      <c r="A145" s="78">
        <v>46154.0</v>
      </c>
      <c r="B145" s="59" t="s">
        <v>1566</v>
      </c>
      <c r="C145" s="59" t="s">
        <v>1587</v>
      </c>
      <c r="D145" s="58">
        <v>32665.0</v>
      </c>
      <c r="E145" s="59" t="s">
        <v>81</v>
      </c>
      <c r="F145" s="59" t="s">
        <v>55</v>
      </c>
      <c r="G145" s="62"/>
      <c r="H145" s="62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</row>
    <row r="146">
      <c r="A146" s="78">
        <v>46154.0</v>
      </c>
      <c r="B146" s="59" t="s">
        <v>1566</v>
      </c>
      <c r="C146" s="59" t="s">
        <v>1588</v>
      </c>
      <c r="D146" s="58">
        <v>26081.0</v>
      </c>
      <c r="E146" s="59" t="s">
        <v>81</v>
      </c>
      <c r="F146" s="59" t="s">
        <v>55</v>
      </c>
      <c r="G146" s="62"/>
      <c r="H146" s="62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</row>
    <row r="147">
      <c r="A147" s="78">
        <v>46154.0</v>
      </c>
      <c r="B147" s="59" t="s">
        <v>1566</v>
      </c>
      <c r="C147" s="59" t="s">
        <v>1589</v>
      </c>
      <c r="D147" s="58">
        <v>22866.0</v>
      </c>
      <c r="E147" s="59" t="s">
        <v>81</v>
      </c>
      <c r="F147" s="59" t="s">
        <v>55</v>
      </c>
      <c r="G147" s="62"/>
      <c r="H147" s="62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</row>
    <row r="148">
      <c r="A148" s="78">
        <v>46154.0</v>
      </c>
      <c r="B148" s="59" t="s">
        <v>1566</v>
      </c>
      <c r="C148" s="59" t="s">
        <v>1590</v>
      </c>
      <c r="D148" s="61">
        <v>30309.0</v>
      </c>
      <c r="E148" s="59" t="s">
        <v>81</v>
      </c>
      <c r="F148" s="59" t="s">
        <v>55</v>
      </c>
      <c r="G148" s="62"/>
      <c r="H148" s="62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</row>
    <row r="149">
      <c r="A149" s="78">
        <v>46154.0</v>
      </c>
      <c r="B149" s="59" t="s">
        <v>1566</v>
      </c>
      <c r="C149" s="59" t="s">
        <v>1591</v>
      </c>
      <c r="D149" s="58">
        <v>23583.0</v>
      </c>
      <c r="E149" s="59" t="s">
        <v>81</v>
      </c>
      <c r="F149" s="59" t="s">
        <v>55</v>
      </c>
      <c r="G149" s="62"/>
      <c r="H149" s="62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</row>
    <row r="150">
      <c r="A150" s="78">
        <v>46154.0</v>
      </c>
      <c r="B150" s="59" t="s">
        <v>1566</v>
      </c>
      <c r="C150" s="59" t="s">
        <v>1592</v>
      </c>
      <c r="D150" s="58">
        <v>24678.0</v>
      </c>
      <c r="E150" s="59" t="s">
        <v>81</v>
      </c>
      <c r="F150" s="59" t="s">
        <v>55</v>
      </c>
      <c r="G150" s="62"/>
      <c r="H150" s="62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</row>
    <row r="151">
      <c r="A151" s="78">
        <v>46154.0</v>
      </c>
      <c r="B151" s="59" t="s">
        <v>1566</v>
      </c>
      <c r="C151" s="59" t="s">
        <v>1593</v>
      </c>
      <c r="D151" s="58">
        <v>35461.0</v>
      </c>
      <c r="E151" s="59" t="s">
        <v>81</v>
      </c>
      <c r="F151" s="59" t="s">
        <v>55</v>
      </c>
      <c r="G151" s="62"/>
      <c r="H151" s="62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</row>
    <row r="152">
      <c r="A152" s="78">
        <v>46154.0</v>
      </c>
      <c r="B152" s="59" t="s">
        <v>1566</v>
      </c>
      <c r="C152" s="59" t="s">
        <v>1594</v>
      </c>
      <c r="D152" s="58">
        <v>34973.0</v>
      </c>
      <c r="E152" s="59" t="s">
        <v>81</v>
      </c>
      <c r="F152" s="59" t="s">
        <v>55</v>
      </c>
      <c r="G152" s="62"/>
      <c r="H152" s="62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</row>
    <row r="153">
      <c r="A153" s="79">
        <v>46155.0</v>
      </c>
      <c r="B153" s="59" t="s">
        <v>1566</v>
      </c>
      <c r="C153" s="59" t="s">
        <v>1595</v>
      </c>
      <c r="D153" s="58">
        <v>31934.0</v>
      </c>
      <c r="E153" s="59" t="s">
        <v>81</v>
      </c>
      <c r="F153" s="59" t="s">
        <v>55</v>
      </c>
      <c r="G153" s="62"/>
      <c r="H153" s="62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</row>
    <row r="154">
      <c r="A154" s="79">
        <v>46155.0</v>
      </c>
      <c r="B154" s="59" t="s">
        <v>1566</v>
      </c>
      <c r="C154" s="59" t="s">
        <v>1596</v>
      </c>
      <c r="D154" s="61">
        <v>24035.0</v>
      </c>
      <c r="E154" s="59" t="s">
        <v>81</v>
      </c>
      <c r="F154" s="59" t="s">
        <v>55</v>
      </c>
      <c r="G154" s="62"/>
      <c r="H154" s="62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</row>
    <row r="155">
      <c r="A155" s="79">
        <v>46155.0</v>
      </c>
      <c r="B155" s="59" t="s">
        <v>1566</v>
      </c>
      <c r="C155" s="59" t="s">
        <v>1597</v>
      </c>
      <c r="D155" s="58">
        <v>32261.0</v>
      </c>
      <c r="E155" s="59" t="s">
        <v>81</v>
      </c>
      <c r="F155" s="59" t="s">
        <v>55</v>
      </c>
      <c r="G155" s="62"/>
      <c r="H155" s="62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</row>
    <row r="156">
      <c r="A156" s="79">
        <v>46155.0</v>
      </c>
      <c r="B156" s="59" t="s">
        <v>1566</v>
      </c>
      <c r="C156" s="59" t="s">
        <v>1598</v>
      </c>
      <c r="D156" s="58">
        <v>38569.0</v>
      </c>
      <c r="E156" s="59" t="s">
        <v>81</v>
      </c>
      <c r="F156" s="59" t="s">
        <v>55</v>
      </c>
      <c r="G156" s="62"/>
      <c r="H156" s="62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</row>
    <row r="157">
      <c r="A157" s="79">
        <v>46155.0</v>
      </c>
      <c r="B157" s="59" t="s">
        <v>1566</v>
      </c>
      <c r="C157" s="75" t="s">
        <v>1599</v>
      </c>
      <c r="D157" s="58">
        <v>21449.0</v>
      </c>
      <c r="E157" s="59" t="s">
        <v>81</v>
      </c>
      <c r="F157" s="59" t="s">
        <v>55</v>
      </c>
      <c r="G157" s="62"/>
      <c r="H157" s="62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</row>
    <row r="158">
      <c r="A158" s="79">
        <v>46155.0</v>
      </c>
      <c r="B158" s="59" t="s">
        <v>1566</v>
      </c>
      <c r="C158" s="59" t="s">
        <v>1600</v>
      </c>
      <c r="D158" s="58">
        <v>28897.0</v>
      </c>
      <c r="E158" s="59" t="s">
        <v>81</v>
      </c>
      <c r="F158" s="59" t="s">
        <v>55</v>
      </c>
      <c r="G158" s="62"/>
      <c r="H158" s="62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</row>
    <row r="159">
      <c r="A159" s="79">
        <v>46155.0</v>
      </c>
      <c r="B159" s="59" t="s">
        <v>1566</v>
      </c>
      <c r="C159" s="59" t="s">
        <v>1601</v>
      </c>
      <c r="D159" s="61">
        <v>27691.0</v>
      </c>
      <c r="E159" s="59" t="s">
        <v>81</v>
      </c>
      <c r="F159" s="59" t="s">
        <v>55</v>
      </c>
      <c r="G159" s="62"/>
      <c r="H159" s="62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</row>
    <row r="160">
      <c r="A160" s="79">
        <v>46155.0</v>
      </c>
      <c r="B160" s="59" t="s">
        <v>1566</v>
      </c>
      <c r="C160" s="59" t="s">
        <v>1602</v>
      </c>
      <c r="D160" s="58">
        <v>26760.0</v>
      </c>
      <c r="E160" s="59" t="s">
        <v>81</v>
      </c>
      <c r="F160" s="59" t="s">
        <v>55</v>
      </c>
      <c r="G160" s="62"/>
      <c r="H160" s="62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</row>
    <row r="161">
      <c r="A161" s="79">
        <v>46155.0</v>
      </c>
      <c r="B161" s="59" t="s">
        <v>1566</v>
      </c>
      <c r="C161" s="59" t="s">
        <v>1603</v>
      </c>
      <c r="D161" s="58">
        <v>30529.0</v>
      </c>
      <c r="E161" s="59" t="s">
        <v>81</v>
      </c>
      <c r="F161" s="59" t="s">
        <v>55</v>
      </c>
      <c r="G161" s="62"/>
      <c r="H161" s="62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</row>
    <row r="162">
      <c r="A162" s="79">
        <v>46155.0</v>
      </c>
      <c r="B162" s="59" t="s">
        <v>1566</v>
      </c>
      <c r="C162" s="59" t="s">
        <v>1604</v>
      </c>
      <c r="D162" s="58">
        <v>36371.0</v>
      </c>
      <c r="E162" s="59" t="s">
        <v>81</v>
      </c>
      <c r="F162" s="59" t="s">
        <v>55</v>
      </c>
      <c r="G162" s="62"/>
      <c r="H162" s="62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</row>
    <row r="163">
      <c r="A163" s="79">
        <v>46155.0</v>
      </c>
      <c r="B163" s="59" t="s">
        <v>1566</v>
      </c>
      <c r="C163" s="59" t="s">
        <v>1605</v>
      </c>
      <c r="D163" s="58">
        <v>23153.0</v>
      </c>
      <c r="E163" s="59" t="s">
        <v>81</v>
      </c>
      <c r="F163" s="59" t="s">
        <v>55</v>
      </c>
      <c r="G163" s="62"/>
      <c r="H163" s="62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</row>
    <row r="164">
      <c r="A164" s="79">
        <v>46155.0</v>
      </c>
      <c r="B164" s="59" t="s">
        <v>1566</v>
      </c>
      <c r="C164" s="59" t="s">
        <v>1606</v>
      </c>
      <c r="D164" s="58">
        <v>23540.0</v>
      </c>
      <c r="E164" s="59" t="s">
        <v>81</v>
      </c>
      <c r="F164" s="59" t="s">
        <v>55</v>
      </c>
      <c r="G164" s="62"/>
      <c r="H164" s="62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</row>
    <row r="165">
      <c r="A165" s="79">
        <v>46155.0</v>
      </c>
      <c r="B165" s="59" t="s">
        <v>1566</v>
      </c>
      <c r="C165" s="59" t="s">
        <v>1607</v>
      </c>
      <c r="D165" s="58">
        <v>32090.0</v>
      </c>
      <c r="E165" s="59" t="s">
        <v>81</v>
      </c>
      <c r="F165" s="59" t="s">
        <v>55</v>
      </c>
      <c r="G165" s="62"/>
      <c r="H165" s="62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</row>
    <row r="166">
      <c r="A166" s="79">
        <v>46155.0</v>
      </c>
      <c r="B166" s="59" t="s">
        <v>1566</v>
      </c>
      <c r="C166" s="59" t="s">
        <v>1608</v>
      </c>
      <c r="D166" s="58">
        <v>30696.0</v>
      </c>
      <c r="E166" s="59" t="s">
        <v>81</v>
      </c>
      <c r="F166" s="59" t="s">
        <v>55</v>
      </c>
      <c r="G166" s="62"/>
      <c r="H166" s="62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</row>
    <row r="167">
      <c r="A167" s="79">
        <v>46155.0</v>
      </c>
      <c r="B167" s="59" t="s">
        <v>1566</v>
      </c>
      <c r="C167" s="59" t="s">
        <v>1609</v>
      </c>
      <c r="D167" s="58">
        <v>32050.0</v>
      </c>
      <c r="E167" s="59" t="s">
        <v>81</v>
      </c>
      <c r="F167" s="59" t="s">
        <v>55</v>
      </c>
      <c r="G167" s="62"/>
      <c r="H167" s="62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</row>
    <row r="168">
      <c r="A168" s="79">
        <v>46155.0</v>
      </c>
      <c r="B168" s="59" t="s">
        <v>1566</v>
      </c>
      <c r="C168" s="59" t="s">
        <v>1610</v>
      </c>
      <c r="D168" s="58">
        <v>24167.0</v>
      </c>
      <c r="E168" s="59" t="s">
        <v>81</v>
      </c>
      <c r="F168" s="59" t="s">
        <v>55</v>
      </c>
      <c r="G168" s="62"/>
      <c r="H168" s="62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</row>
    <row r="169">
      <c r="A169" s="79">
        <v>46155.0</v>
      </c>
      <c r="B169" s="59" t="s">
        <v>1566</v>
      </c>
      <c r="C169" s="59" t="s">
        <v>1611</v>
      </c>
      <c r="D169" s="58">
        <v>30389.0</v>
      </c>
      <c r="E169" s="59" t="s">
        <v>81</v>
      </c>
      <c r="F169" s="59" t="s">
        <v>55</v>
      </c>
      <c r="G169" s="62"/>
      <c r="H169" s="62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</row>
    <row r="170">
      <c r="A170" s="79">
        <v>46155.0</v>
      </c>
      <c r="B170" s="59" t="s">
        <v>1566</v>
      </c>
      <c r="C170" s="59" t="s">
        <v>1612</v>
      </c>
      <c r="D170" s="61">
        <v>22937.0</v>
      </c>
      <c r="E170" s="59" t="s">
        <v>81</v>
      </c>
      <c r="F170" s="59" t="s">
        <v>55</v>
      </c>
      <c r="G170" s="62"/>
      <c r="H170" s="62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</row>
    <row r="171">
      <c r="A171" s="79">
        <v>46155.0</v>
      </c>
      <c r="B171" s="59" t="s">
        <v>1566</v>
      </c>
      <c r="C171" s="59" t="s">
        <v>1613</v>
      </c>
      <c r="D171" s="61">
        <v>25194.0</v>
      </c>
      <c r="E171" s="59" t="s">
        <v>81</v>
      </c>
      <c r="F171" s="59" t="s">
        <v>55</v>
      </c>
      <c r="G171" s="62"/>
      <c r="H171" s="62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</row>
    <row r="172">
      <c r="A172" s="79">
        <v>46155.0</v>
      </c>
      <c r="B172" s="59" t="s">
        <v>1566</v>
      </c>
      <c r="C172" s="59" t="s">
        <v>1614</v>
      </c>
      <c r="D172" s="61">
        <v>34313.0</v>
      </c>
      <c r="E172" s="59" t="s">
        <v>81</v>
      </c>
      <c r="F172" s="59" t="s">
        <v>55</v>
      </c>
      <c r="G172" s="62"/>
      <c r="H172" s="62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</row>
    <row r="173">
      <c r="A173" s="80">
        <v>46156.0</v>
      </c>
      <c r="B173" s="59" t="s">
        <v>1566</v>
      </c>
      <c r="C173" s="59" t="s">
        <v>1615</v>
      </c>
      <c r="D173" s="58">
        <v>38577.0</v>
      </c>
      <c r="E173" s="59" t="s">
        <v>81</v>
      </c>
      <c r="F173" s="59" t="s">
        <v>55</v>
      </c>
      <c r="G173" s="62"/>
      <c r="H173" s="62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</row>
    <row r="174">
      <c r="A174" s="80">
        <v>46156.0</v>
      </c>
      <c r="B174" s="59" t="s">
        <v>1566</v>
      </c>
      <c r="C174" s="59" t="s">
        <v>1616</v>
      </c>
      <c r="D174" s="58">
        <v>27410.0</v>
      </c>
      <c r="E174" s="59" t="s">
        <v>81</v>
      </c>
      <c r="F174" s="59" t="s">
        <v>55</v>
      </c>
      <c r="G174" s="62"/>
      <c r="H174" s="62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</row>
    <row r="175">
      <c r="A175" s="80">
        <v>46156.0</v>
      </c>
      <c r="B175" s="59" t="s">
        <v>1566</v>
      </c>
      <c r="C175" s="59" t="s">
        <v>1617</v>
      </c>
      <c r="D175" s="58">
        <v>23423.0</v>
      </c>
      <c r="E175" s="59" t="s">
        <v>81</v>
      </c>
      <c r="F175" s="59" t="s">
        <v>55</v>
      </c>
      <c r="G175" s="62"/>
      <c r="H175" s="62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</row>
    <row r="176">
      <c r="A176" s="80">
        <v>46156.0</v>
      </c>
      <c r="B176" s="59" t="s">
        <v>1566</v>
      </c>
      <c r="C176" s="59" t="s">
        <v>1618</v>
      </c>
      <c r="D176" s="58">
        <v>25057.0</v>
      </c>
      <c r="E176" s="59" t="s">
        <v>81</v>
      </c>
      <c r="F176" s="59" t="s">
        <v>55</v>
      </c>
      <c r="G176" s="62"/>
      <c r="H176" s="62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</row>
    <row r="177">
      <c r="A177" s="80">
        <v>46156.0</v>
      </c>
      <c r="B177" s="59" t="s">
        <v>1566</v>
      </c>
      <c r="C177" s="70" t="s">
        <v>1619</v>
      </c>
      <c r="D177" s="58">
        <v>24703.0</v>
      </c>
      <c r="E177" s="59" t="s">
        <v>81</v>
      </c>
      <c r="F177" s="59" t="s">
        <v>55</v>
      </c>
      <c r="G177" s="62"/>
      <c r="H177" s="62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</row>
    <row r="178">
      <c r="A178" s="80">
        <v>46156.0</v>
      </c>
      <c r="B178" s="59" t="s">
        <v>1566</v>
      </c>
      <c r="C178" s="59" t="s">
        <v>1620</v>
      </c>
      <c r="D178" s="58">
        <v>33436.0</v>
      </c>
      <c r="E178" s="59" t="s">
        <v>81</v>
      </c>
      <c r="F178" s="59" t="s">
        <v>55</v>
      </c>
      <c r="G178" s="62"/>
      <c r="H178" s="62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</row>
    <row r="179">
      <c r="A179" s="80">
        <v>46156.0</v>
      </c>
      <c r="B179" s="59" t="s">
        <v>1566</v>
      </c>
      <c r="C179" s="75" t="s">
        <v>1621</v>
      </c>
      <c r="D179" s="58">
        <v>33023.0</v>
      </c>
      <c r="E179" s="59" t="s">
        <v>81</v>
      </c>
      <c r="F179" s="59" t="s">
        <v>55</v>
      </c>
      <c r="G179" s="62"/>
      <c r="H179" s="62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</row>
    <row r="180">
      <c r="A180" s="80">
        <v>46156.0</v>
      </c>
      <c r="B180" s="59" t="s">
        <v>1566</v>
      </c>
      <c r="C180" s="75" t="s">
        <v>1622</v>
      </c>
      <c r="D180" s="58">
        <v>38028.0</v>
      </c>
      <c r="E180" s="59" t="s">
        <v>81</v>
      </c>
      <c r="F180" s="59" t="s">
        <v>55</v>
      </c>
      <c r="G180" s="62"/>
      <c r="H180" s="62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</row>
    <row r="181">
      <c r="A181" s="80">
        <v>46156.0</v>
      </c>
      <c r="B181" s="59" t="s">
        <v>1566</v>
      </c>
      <c r="C181" s="59" t="s">
        <v>1623</v>
      </c>
      <c r="D181" s="61">
        <v>33223.0</v>
      </c>
      <c r="E181" s="59" t="s">
        <v>81</v>
      </c>
      <c r="F181" s="59" t="s">
        <v>55</v>
      </c>
      <c r="G181" s="62"/>
      <c r="H181" s="62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</row>
    <row r="182">
      <c r="A182" s="80">
        <v>46156.0</v>
      </c>
      <c r="B182" s="59" t="s">
        <v>1566</v>
      </c>
      <c r="C182" s="59" t="s">
        <v>1624</v>
      </c>
      <c r="D182" s="58">
        <v>24179.0</v>
      </c>
      <c r="E182" s="59" t="s">
        <v>81</v>
      </c>
      <c r="F182" s="59" t="s">
        <v>55</v>
      </c>
      <c r="G182" s="62"/>
      <c r="H182" s="62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</row>
    <row r="183">
      <c r="A183" s="80">
        <v>46156.0</v>
      </c>
      <c r="B183" s="59" t="s">
        <v>1566</v>
      </c>
      <c r="C183" s="59" t="s">
        <v>1625</v>
      </c>
      <c r="D183" s="58">
        <v>24119.0</v>
      </c>
      <c r="E183" s="59" t="s">
        <v>81</v>
      </c>
      <c r="F183" s="59" t="s">
        <v>55</v>
      </c>
      <c r="G183" s="62"/>
      <c r="H183" s="62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</row>
    <row r="184">
      <c r="A184" s="80">
        <v>46156.0</v>
      </c>
      <c r="B184" s="59" t="s">
        <v>1566</v>
      </c>
      <c r="C184" s="59" t="s">
        <v>1626</v>
      </c>
      <c r="D184" s="61">
        <v>30670.0</v>
      </c>
      <c r="E184" s="59" t="s">
        <v>81</v>
      </c>
      <c r="F184" s="59" t="s">
        <v>55</v>
      </c>
      <c r="G184" s="62"/>
      <c r="H184" s="62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</row>
    <row r="185">
      <c r="A185" s="80">
        <v>46156.0</v>
      </c>
      <c r="B185" s="59" t="s">
        <v>1566</v>
      </c>
      <c r="C185" s="59" t="s">
        <v>1627</v>
      </c>
      <c r="D185" s="58">
        <v>36214.0</v>
      </c>
      <c r="E185" s="59" t="s">
        <v>81</v>
      </c>
      <c r="F185" s="59" t="s">
        <v>55</v>
      </c>
      <c r="G185" s="62"/>
      <c r="H185" s="62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</row>
    <row r="186">
      <c r="A186" s="80">
        <v>46156.0</v>
      </c>
      <c r="B186" s="59" t="s">
        <v>1566</v>
      </c>
      <c r="C186" s="59" t="s">
        <v>1628</v>
      </c>
      <c r="D186" s="58">
        <v>37095.0</v>
      </c>
      <c r="E186" s="59" t="s">
        <v>81</v>
      </c>
      <c r="F186" s="59" t="s">
        <v>55</v>
      </c>
      <c r="G186" s="62"/>
      <c r="H186" s="62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</row>
    <row r="187">
      <c r="A187" s="80">
        <v>46156.0</v>
      </c>
      <c r="B187" s="59" t="s">
        <v>1566</v>
      </c>
      <c r="C187" s="59" t="s">
        <v>1629</v>
      </c>
      <c r="D187" s="58">
        <v>35622.0</v>
      </c>
      <c r="E187" s="59" t="s">
        <v>81</v>
      </c>
      <c r="F187" s="59" t="s">
        <v>55</v>
      </c>
      <c r="G187" s="62"/>
      <c r="H187" s="62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</row>
    <row r="188">
      <c r="A188" s="80">
        <v>46156.0</v>
      </c>
      <c r="B188" s="59" t="s">
        <v>1566</v>
      </c>
      <c r="C188" s="59" t="s">
        <v>1630</v>
      </c>
      <c r="D188" s="58">
        <v>38107.0</v>
      </c>
      <c r="E188" s="59" t="s">
        <v>81</v>
      </c>
      <c r="F188" s="59" t="s">
        <v>55</v>
      </c>
      <c r="G188" s="62"/>
      <c r="H188" s="62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</row>
    <row r="189">
      <c r="A189" s="80">
        <v>46156.0</v>
      </c>
      <c r="B189" s="59" t="s">
        <v>1566</v>
      </c>
      <c r="C189" s="59" t="s">
        <v>1631</v>
      </c>
      <c r="D189" s="58">
        <v>32678.0</v>
      </c>
      <c r="E189" s="59" t="s">
        <v>81</v>
      </c>
      <c r="F189" s="59" t="s">
        <v>55</v>
      </c>
      <c r="G189" s="62"/>
      <c r="H189" s="62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</row>
    <row r="190">
      <c r="A190" s="80">
        <v>46156.0</v>
      </c>
      <c r="B190" s="59" t="s">
        <v>1566</v>
      </c>
      <c r="C190" s="59" t="s">
        <v>1632</v>
      </c>
      <c r="D190" s="61">
        <v>23736.0</v>
      </c>
      <c r="E190" s="59" t="s">
        <v>81</v>
      </c>
      <c r="F190" s="59" t="s">
        <v>55</v>
      </c>
      <c r="G190" s="62"/>
      <c r="H190" s="62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</row>
    <row r="191">
      <c r="A191" s="80">
        <v>46156.0</v>
      </c>
      <c r="B191" s="59" t="s">
        <v>1432</v>
      </c>
      <c r="C191" s="59" t="s">
        <v>1633</v>
      </c>
      <c r="D191" s="58">
        <v>32268.0</v>
      </c>
      <c r="E191" s="59" t="s">
        <v>81</v>
      </c>
      <c r="F191" s="59" t="s">
        <v>55</v>
      </c>
      <c r="G191" s="62"/>
      <c r="H191" s="62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</row>
    <row r="192">
      <c r="A192" s="81">
        <v>46157.0</v>
      </c>
      <c r="B192" s="59" t="s">
        <v>1432</v>
      </c>
      <c r="C192" s="59" t="s">
        <v>1634</v>
      </c>
      <c r="D192" s="59" t="s">
        <v>1635</v>
      </c>
      <c r="E192" s="59" t="s">
        <v>81</v>
      </c>
      <c r="F192" s="59" t="s">
        <v>55</v>
      </c>
      <c r="G192" s="62"/>
      <c r="H192" s="62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</row>
    <row r="193">
      <c r="A193" s="81">
        <v>46157.0</v>
      </c>
      <c r="B193" s="59" t="s">
        <v>1432</v>
      </c>
      <c r="C193" s="59" t="s">
        <v>1636</v>
      </c>
      <c r="D193" s="58">
        <v>24646.0</v>
      </c>
      <c r="E193" s="59" t="s">
        <v>81</v>
      </c>
      <c r="F193" s="59" t="s">
        <v>55</v>
      </c>
      <c r="G193" s="62"/>
      <c r="H193" s="62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</row>
    <row r="194">
      <c r="A194" s="81">
        <v>46157.0</v>
      </c>
      <c r="B194" s="59" t="s">
        <v>1432</v>
      </c>
      <c r="C194" s="59" t="s">
        <v>1637</v>
      </c>
      <c r="D194" s="58">
        <v>24361.0</v>
      </c>
      <c r="E194" s="59" t="s">
        <v>81</v>
      </c>
      <c r="F194" s="59" t="s">
        <v>55</v>
      </c>
      <c r="G194" s="62"/>
      <c r="H194" s="62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</row>
    <row r="195">
      <c r="A195" s="81">
        <v>46157.0</v>
      </c>
      <c r="B195" s="59" t="s">
        <v>1432</v>
      </c>
      <c r="C195" s="59" t="s">
        <v>1638</v>
      </c>
      <c r="D195" s="61">
        <v>35790.0</v>
      </c>
      <c r="E195" s="59" t="s">
        <v>81</v>
      </c>
      <c r="F195" s="59" t="s">
        <v>55</v>
      </c>
      <c r="G195" s="62"/>
      <c r="H195" s="62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</row>
    <row r="196">
      <c r="A196" s="81">
        <v>46157.0</v>
      </c>
      <c r="B196" s="59" t="s">
        <v>1432</v>
      </c>
      <c r="C196" s="59" t="s">
        <v>1639</v>
      </c>
      <c r="D196" s="58">
        <v>34860.0</v>
      </c>
      <c r="E196" s="59" t="s">
        <v>81</v>
      </c>
      <c r="F196" s="59" t="s">
        <v>1640</v>
      </c>
      <c r="G196" s="62"/>
      <c r="H196" s="62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</row>
    <row r="197">
      <c r="A197" s="81">
        <v>46157.0</v>
      </c>
      <c r="B197" s="59" t="s">
        <v>1432</v>
      </c>
      <c r="C197" s="59" t="s">
        <v>1641</v>
      </c>
      <c r="D197" s="59" t="s">
        <v>1642</v>
      </c>
      <c r="E197" s="59" t="s">
        <v>81</v>
      </c>
      <c r="F197" s="59" t="s">
        <v>1640</v>
      </c>
      <c r="G197" s="62"/>
      <c r="H197" s="62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</row>
    <row r="198">
      <c r="A198" s="81">
        <v>46157.0</v>
      </c>
      <c r="B198" s="59" t="s">
        <v>1432</v>
      </c>
      <c r="C198" s="59" t="s">
        <v>1643</v>
      </c>
      <c r="D198" s="58">
        <v>30568.0</v>
      </c>
      <c r="E198" s="59" t="s">
        <v>81</v>
      </c>
      <c r="F198" s="59" t="s">
        <v>1640</v>
      </c>
      <c r="G198" s="62"/>
      <c r="H198" s="62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</row>
    <row r="199">
      <c r="A199" s="81">
        <v>46157.0</v>
      </c>
      <c r="B199" s="59" t="s">
        <v>1432</v>
      </c>
      <c r="C199" s="59" t="s">
        <v>1644</v>
      </c>
      <c r="D199" s="58">
        <v>37901.0</v>
      </c>
      <c r="E199" s="59" t="s">
        <v>81</v>
      </c>
      <c r="F199" s="59" t="s">
        <v>1640</v>
      </c>
      <c r="G199" s="62"/>
      <c r="H199" s="62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</row>
    <row r="200">
      <c r="A200" s="81">
        <v>46157.0</v>
      </c>
      <c r="B200" s="59" t="s">
        <v>1432</v>
      </c>
      <c r="C200" s="59" t="s">
        <v>1645</v>
      </c>
      <c r="D200" s="58">
        <v>32788.0</v>
      </c>
      <c r="E200" s="59" t="s">
        <v>81</v>
      </c>
      <c r="F200" s="59" t="s">
        <v>1640</v>
      </c>
      <c r="G200" s="62"/>
      <c r="H200" s="62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</row>
    <row r="201">
      <c r="A201" s="81">
        <v>46157.0</v>
      </c>
      <c r="B201" s="59" t="s">
        <v>1432</v>
      </c>
      <c r="C201" s="59" t="s">
        <v>1646</v>
      </c>
      <c r="D201" s="58">
        <v>36307.0</v>
      </c>
      <c r="E201" s="59" t="s">
        <v>81</v>
      </c>
      <c r="F201" s="59" t="s">
        <v>55</v>
      </c>
      <c r="G201" s="62"/>
      <c r="H201" s="62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</row>
    <row r="202">
      <c r="A202" s="81">
        <v>46157.0</v>
      </c>
      <c r="B202" s="59" t="s">
        <v>1432</v>
      </c>
      <c r="C202" s="59" t="s">
        <v>1647</v>
      </c>
      <c r="D202" s="58">
        <v>31284.0</v>
      </c>
      <c r="E202" s="59" t="s">
        <v>81</v>
      </c>
      <c r="F202" s="59" t="s">
        <v>55</v>
      </c>
      <c r="G202" s="62"/>
      <c r="H202" s="62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</row>
    <row r="203">
      <c r="A203" s="81">
        <v>46160.0</v>
      </c>
      <c r="B203" s="59" t="s">
        <v>1432</v>
      </c>
      <c r="C203" s="59" t="s">
        <v>1648</v>
      </c>
      <c r="D203" s="58">
        <v>21272.0</v>
      </c>
      <c r="E203" s="59" t="s">
        <v>86</v>
      </c>
      <c r="F203" s="59" t="s">
        <v>55</v>
      </c>
      <c r="G203" s="62"/>
      <c r="H203" s="62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</row>
    <row r="204">
      <c r="A204" s="81">
        <v>46160.0</v>
      </c>
      <c r="B204" s="59" t="s">
        <v>1432</v>
      </c>
      <c r="C204" s="59" t="s">
        <v>1649</v>
      </c>
      <c r="D204" s="61">
        <v>31404.0</v>
      </c>
      <c r="E204" s="59" t="s">
        <v>86</v>
      </c>
      <c r="F204" s="59" t="s">
        <v>55</v>
      </c>
      <c r="G204" s="62"/>
      <c r="H204" s="62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</row>
    <row r="205">
      <c r="A205" s="82">
        <v>46164.0</v>
      </c>
      <c r="B205" s="59" t="s">
        <v>1432</v>
      </c>
      <c r="C205" s="59" t="s">
        <v>1650</v>
      </c>
      <c r="D205" s="61">
        <v>28781.0</v>
      </c>
      <c r="E205" s="59" t="s">
        <v>74</v>
      </c>
      <c r="F205" s="59" t="s">
        <v>55</v>
      </c>
      <c r="G205" s="62"/>
      <c r="H205" s="62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</row>
    <row r="206">
      <c r="A206" s="82">
        <v>46164.0</v>
      </c>
      <c r="B206" s="59" t="s">
        <v>1432</v>
      </c>
      <c r="C206" s="70" t="s">
        <v>1651</v>
      </c>
      <c r="D206" s="61">
        <v>28174.0</v>
      </c>
      <c r="E206" s="59" t="s">
        <v>74</v>
      </c>
      <c r="F206" s="59" t="s">
        <v>55</v>
      </c>
      <c r="G206" s="62"/>
      <c r="H206" s="62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</row>
    <row r="207">
      <c r="A207" s="82">
        <v>46164.0</v>
      </c>
      <c r="B207" s="59" t="s">
        <v>1432</v>
      </c>
      <c r="C207" s="59" t="s">
        <v>1652</v>
      </c>
      <c r="D207" s="61">
        <v>37304.0</v>
      </c>
      <c r="E207" s="59" t="s">
        <v>74</v>
      </c>
      <c r="F207" s="59" t="s">
        <v>55</v>
      </c>
      <c r="G207" s="62"/>
      <c r="H207" s="62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</row>
    <row r="208">
      <c r="A208" s="82">
        <v>46164.0</v>
      </c>
      <c r="B208" s="59" t="s">
        <v>1432</v>
      </c>
      <c r="C208" s="59" t="s">
        <v>1653</v>
      </c>
      <c r="D208" s="61">
        <v>37439.0</v>
      </c>
      <c r="E208" s="59" t="s">
        <v>74</v>
      </c>
      <c r="F208" s="59" t="s">
        <v>55</v>
      </c>
      <c r="G208" s="62"/>
      <c r="H208" s="62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</row>
    <row r="209">
      <c r="A209" s="82">
        <v>46164.0</v>
      </c>
      <c r="B209" s="59" t="s">
        <v>1432</v>
      </c>
      <c r="C209" s="70" t="s">
        <v>1654</v>
      </c>
      <c r="D209" s="61">
        <v>24480.0</v>
      </c>
      <c r="E209" s="59" t="s">
        <v>74</v>
      </c>
      <c r="F209" s="59" t="s">
        <v>55</v>
      </c>
      <c r="G209" s="62"/>
      <c r="H209" s="62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</row>
    <row r="210">
      <c r="A210" s="82">
        <v>46164.0</v>
      </c>
      <c r="B210" s="59" t="s">
        <v>1432</v>
      </c>
      <c r="C210" s="70" t="s">
        <v>1655</v>
      </c>
      <c r="D210" s="61">
        <v>39342.0</v>
      </c>
      <c r="E210" s="59" t="s">
        <v>74</v>
      </c>
      <c r="F210" s="59" t="s">
        <v>55</v>
      </c>
      <c r="G210" s="62"/>
      <c r="H210" s="62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</row>
    <row r="211">
      <c r="A211" s="82">
        <v>46164.0</v>
      </c>
      <c r="B211" s="59" t="s">
        <v>1432</v>
      </c>
      <c r="C211" s="59" t="s">
        <v>1656</v>
      </c>
      <c r="D211" s="61">
        <v>24175.0</v>
      </c>
      <c r="E211" s="59" t="s">
        <v>74</v>
      </c>
      <c r="F211" s="59" t="s">
        <v>55</v>
      </c>
      <c r="G211" s="62"/>
      <c r="H211" s="62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</row>
    <row r="212">
      <c r="A212" s="82">
        <v>46164.0</v>
      </c>
      <c r="B212" s="59" t="s">
        <v>1432</v>
      </c>
      <c r="C212" s="59" t="s">
        <v>1657</v>
      </c>
      <c r="D212" s="61">
        <v>36513.0</v>
      </c>
      <c r="E212" s="59" t="s">
        <v>74</v>
      </c>
      <c r="F212" s="59" t="s">
        <v>55</v>
      </c>
      <c r="G212" s="62"/>
      <c r="H212" s="62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</row>
    <row r="213">
      <c r="A213" s="82">
        <v>46164.0</v>
      </c>
      <c r="B213" s="59" t="s">
        <v>1432</v>
      </c>
      <c r="C213" s="59" t="s">
        <v>1658</v>
      </c>
      <c r="D213" s="61">
        <v>34247.0</v>
      </c>
      <c r="E213" s="59" t="s">
        <v>74</v>
      </c>
      <c r="F213" s="59" t="s">
        <v>55</v>
      </c>
      <c r="G213" s="62"/>
      <c r="H213" s="62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</row>
    <row r="214">
      <c r="A214" s="82">
        <v>46164.0</v>
      </c>
      <c r="B214" s="59" t="s">
        <v>1432</v>
      </c>
      <c r="C214" s="59" t="s">
        <v>1659</v>
      </c>
      <c r="D214" s="61">
        <v>33120.0</v>
      </c>
      <c r="E214" s="59" t="s">
        <v>81</v>
      </c>
      <c r="F214" s="59" t="s">
        <v>55</v>
      </c>
      <c r="G214" s="62"/>
      <c r="H214" s="62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</row>
    <row r="215">
      <c r="A215" s="82">
        <v>46164.0</v>
      </c>
      <c r="B215" s="59" t="s">
        <v>1432</v>
      </c>
      <c r="C215" s="59" t="s">
        <v>1660</v>
      </c>
      <c r="D215" s="61">
        <v>26398.0</v>
      </c>
      <c r="E215" s="59" t="s">
        <v>81</v>
      </c>
      <c r="F215" s="59" t="s">
        <v>55</v>
      </c>
      <c r="G215" s="62"/>
      <c r="H215" s="62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</row>
    <row r="216">
      <c r="A216" s="82">
        <v>46164.0</v>
      </c>
      <c r="B216" s="59" t="s">
        <v>1432</v>
      </c>
      <c r="C216" s="59" t="s">
        <v>1661</v>
      </c>
      <c r="D216" s="61">
        <v>25894.0</v>
      </c>
      <c r="E216" s="59" t="s">
        <v>81</v>
      </c>
      <c r="F216" s="59" t="s">
        <v>55</v>
      </c>
      <c r="G216" s="62"/>
      <c r="H216" s="62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</row>
    <row r="217">
      <c r="A217" s="82">
        <v>46164.0</v>
      </c>
      <c r="B217" s="59" t="s">
        <v>1432</v>
      </c>
      <c r="C217" s="59" t="s">
        <v>1662</v>
      </c>
      <c r="D217" s="61">
        <v>30678.0</v>
      </c>
      <c r="E217" s="59" t="s">
        <v>81</v>
      </c>
      <c r="F217" s="59" t="s">
        <v>55</v>
      </c>
      <c r="G217" s="62"/>
      <c r="H217" s="62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</row>
    <row r="218">
      <c r="A218" s="82">
        <v>46164.0</v>
      </c>
      <c r="B218" s="59" t="s">
        <v>1432</v>
      </c>
      <c r="C218" s="59" t="s">
        <v>1663</v>
      </c>
      <c r="D218" s="61">
        <v>26674.0</v>
      </c>
      <c r="E218" s="59" t="s">
        <v>81</v>
      </c>
      <c r="F218" s="59" t="s">
        <v>55</v>
      </c>
      <c r="G218" s="62"/>
      <c r="H218" s="62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</row>
    <row r="219">
      <c r="A219" s="82">
        <v>46164.0</v>
      </c>
      <c r="B219" s="59" t="s">
        <v>1432</v>
      </c>
      <c r="C219" s="59" t="s">
        <v>1664</v>
      </c>
      <c r="D219" s="61">
        <v>30300.0</v>
      </c>
      <c r="E219" s="59" t="s">
        <v>81</v>
      </c>
      <c r="F219" s="59" t="s">
        <v>55</v>
      </c>
      <c r="G219" s="62"/>
      <c r="H219" s="62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</row>
    <row r="220">
      <c r="A220" s="82">
        <v>46164.0</v>
      </c>
      <c r="B220" s="59" t="s">
        <v>1432</v>
      </c>
      <c r="C220" s="59" t="s">
        <v>1665</v>
      </c>
      <c r="D220" s="61">
        <v>25183.0</v>
      </c>
      <c r="E220" s="59" t="s">
        <v>81</v>
      </c>
      <c r="F220" s="59" t="s">
        <v>55</v>
      </c>
      <c r="G220" s="62"/>
      <c r="H220" s="62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</row>
    <row r="221">
      <c r="A221" s="82">
        <v>46164.0</v>
      </c>
      <c r="B221" s="59" t="s">
        <v>1432</v>
      </c>
      <c r="C221" s="59" t="s">
        <v>1666</v>
      </c>
      <c r="D221" s="58">
        <v>25839.0</v>
      </c>
      <c r="E221" s="59" t="s">
        <v>81</v>
      </c>
      <c r="F221" s="59" t="s">
        <v>55</v>
      </c>
      <c r="G221" s="62"/>
      <c r="H221" s="62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</row>
    <row r="222">
      <c r="A222" s="82">
        <v>46164.0</v>
      </c>
      <c r="B222" s="59" t="s">
        <v>1432</v>
      </c>
      <c r="C222" s="59" t="s">
        <v>1667</v>
      </c>
      <c r="D222" s="61">
        <v>34272.0</v>
      </c>
      <c r="E222" s="59" t="s">
        <v>81</v>
      </c>
      <c r="F222" s="59" t="s">
        <v>55</v>
      </c>
      <c r="G222" s="62"/>
      <c r="H222" s="62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</row>
    <row r="223">
      <c r="A223" s="82">
        <v>46164.0</v>
      </c>
      <c r="B223" s="59" t="s">
        <v>1432</v>
      </c>
      <c r="C223" s="59" t="s">
        <v>1668</v>
      </c>
      <c r="D223" s="58">
        <v>28248.0</v>
      </c>
      <c r="E223" s="59" t="s">
        <v>81</v>
      </c>
      <c r="F223" s="59" t="s">
        <v>55</v>
      </c>
      <c r="G223" s="62"/>
      <c r="H223" s="62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</row>
    <row r="224">
      <c r="A224" s="82">
        <v>46164.0</v>
      </c>
      <c r="B224" s="59" t="s">
        <v>1432</v>
      </c>
      <c r="C224" s="59" t="s">
        <v>1669</v>
      </c>
      <c r="D224" s="61">
        <v>28479.0</v>
      </c>
      <c r="E224" s="59" t="s">
        <v>81</v>
      </c>
      <c r="F224" s="59" t="s">
        <v>55</v>
      </c>
      <c r="G224" s="62"/>
      <c r="H224" s="62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</row>
    <row r="225">
      <c r="A225" s="82">
        <v>46164.0</v>
      </c>
      <c r="B225" s="59" t="s">
        <v>1432</v>
      </c>
      <c r="C225" s="59" t="s">
        <v>1670</v>
      </c>
      <c r="D225" s="61">
        <v>23671.0</v>
      </c>
      <c r="E225" s="59" t="s">
        <v>81</v>
      </c>
      <c r="F225" s="59" t="s">
        <v>55</v>
      </c>
      <c r="G225" s="62"/>
      <c r="H225" s="62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</row>
    <row r="226">
      <c r="A226" s="82">
        <v>46164.0</v>
      </c>
      <c r="B226" s="59" t="s">
        <v>1432</v>
      </c>
      <c r="C226" s="59" t="s">
        <v>1671</v>
      </c>
      <c r="D226" s="61">
        <v>33929.0</v>
      </c>
      <c r="E226" s="59" t="s">
        <v>81</v>
      </c>
      <c r="F226" s="59" t="s">
        <v>55</v>
      </c>
      <c r="G226" s="62"/>
      <c r="H226" s="62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</row>
    <row r="227">
      <c r="A227" s="82">
        <v>46164.0</v>
      </c>
      <c r="B227" s="59" t="s">
        <v>1432</v>
      </c>
      <c r="C227" s="59" t="s">
        <v>1672</v>
      </c>
      <c r="D227" s="61">
        <v>39416.0</v>
      </c>
      <c r="E227" s="59" t="s">
        <v>81</v>
      </c>
      <c r="F227" s="59" t="s">
        <v>55</v>
      </c>
      <c r="G227" s="62"/>
      <c r="H227" s="62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</row>
    <row r="228">
      <c r="A228" s="82">
        <v>46164.0</v>
      </c>
      <c r="B228" s="59" t="s">
        <v>1432</v>
      </c>
      <c r="C228" s="59" t="s">
        <v>1673</v>
      </c>
      <c r="D228" s="58">
        <v>31052.0</v>
      </c>
      <c r="E228" s="59" t="s">
        <v>81</v>
      </c>
      <c r="F228" s="59" t="s">
        <v>55</v>
      </c>
      <c r="G228" s="62"/>
      <c r="H228" s="62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</row>
    <row r="229">
      <c r="A229" s="82">
        <v>46164.0</v>
      </c>
      <c r="B229" s="59" t="s">
        <v>1432</v>
      </c>
      <c r="C229" s="70" t="s">
        <v>1674</v>
      </c>
      <c r="D229" s="58">
        <v>23206.0</v>
      </c>
      <c r="E229" s="59" t="s">
        <v>54</v>
      </c>
      <c r="F229" s="59" t="s">
        <v>55</v>
      </c>
      <c r="G229" s="62"/>
      <c r="H229" s="62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</row>
    <row r="230">
      <c r="A230" s="82">
        <v>46164.0</v>
      </c>
      <c r="B230" s="59" t="s">
        <v>1432</v>
      </c>
      <c r="C230" s="59" t="s">
        <v>1675</v>
      </c>
      <c r="D230" s="58">
        <v>24346.0</v>
      </c>
      <c r="E230" s="59" t="s">
        <v>54</v>
      </c>
      <c r="F230" s="59" t="s">
        <v>55</v>
      </c>
      <c r="G230" s="62"/>
      <c r="H230" s="62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</row>
    <row r="231">
      <c r="A231" s="82">
        <v>46164.0</v>
      </c>
      <c r="B231" s="59" t="s">
        <v>1432</v>
      </c>
      <c r="C231" s="59" t="s">
        <v>1676</v>
      </c>
      <c r="D231" s="61">
        <v>28483.0</v>
      </c>
      <c r="E231" s="59" t="s">
        <v>54</v>
      </c>
      <c r="F231" s="59" t="s">
        <v>55</v>
      </c>
      <c r="G231" s="62"/>
      <c r="H231" s="62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</row>
    <row r="232">
      <c r="A232" s="82">
        <v>46164.0</v>
      </c>
      <c r="B232" s="59" t="s">
        <v>1432</v>
      </c>
      <c r="C232" s="59" t="s">
        <v>1677</v>
      </c>
      <c r="D232" s="58">
        <v>34195.0</v>
      </c>
      <c r="E232" s="59" t="s">
        <v>54</v>
      </c>
      <c r="F232" s="59" t="s">
        <v>55</v>
      </c>
      <c r="G232" s="62"/>
      <c r="H232" s="62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</row>
    <row r="233">
      <c r="A233" s="82">
        <v>46164.0</v>
      </c>
      <c r="B233" s="59" t="s">
        <v>1432</v>
      </c>
      <c r="C233" s="59" t="s">
        <v>1678</v>
      </c>
      <c r="D233" s="58">
        <v>24376.0</v>
      </c>
      <c r="E233" s="59" t="s">
        <v>54</v>
      </c>
      <c r="F233" s="59" t="s">
        <v>55</v>
      </c>
      <c r="G233" s="62"/>
      <c r="H233" s="62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</row>
    <row r="234">
      <c r="A234" s="82">
        <v>46164.0</v>
      </c>
      <c r="B234" s="59" t="s">
        <v>1432</v>
      </c>
      <c r="C234" s="59" t="s">
        <v>1679</v>
      </c>
      <c r="D234" s="61">
        <v>28481.0</v>
      </c>
      <c r="E234" s="59" t="s">
        <v>54</v>
      </c>
      <c r="F234" s="59" t="s">
        <v>55</v>
      </c>
      <c r="G234" s="62"/>
      <c r="H234" s="62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</row>
    <row r="235">
      <c r="A235" s="82">
        <v>46164.0</v>
      </c>
      <c r="B235" s="59" t="s">
        <v>1432</v>
      </c>
      <c r="C235" s="59" t="s">
        <v>1680</v>
      </c>
      <c r="D235" s="61">
        <v>26967.0</v>
      </c>
      <c r="E235" s="59" t="s">
        <v>54</v>
      </c>
      <c r="F235" s="59" t="s">
        <v>55</v>
      </c>
      <c r="G235" s="62"/>
      <c r="H235" s="62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</row>
    <row r="236">
      <c r="A236" s="82">
        <v>46164.0</v>
      </c>
      <c r="B236" s="59" t="s">
        <v>1432</v>
      </c>
      <c r="C236" s="59" t="s">
        <v>1681</v>
      </c>
      <c r="D236" s="58">
        <v>33049.0</v>
      </c>
      <c r="E236" s="59" t="s">
        <v>54</v>
      </c>
      <c r="F236" s="59" t="s">
        <v>55</v>
      </c>
      <c r="G236" s="62"/>
      <c r="H236" s="62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</row>
    <row r="237">
      <c r="A237" s="82">
        <v>46164.0</v>
      </c>
      <c r="B237" s="59" t="s">
        <v>1432</v>
      </c>
      <c r="C237" s="59" t="s">
        <v>1682</v>
      </c>
      <c r="D237" s="58">
        <v>26454.0</v>
      </c>
      <c r="E237" s="59" t="s">
        <v>54</v>
      </c>
      <c r="F237" s="59" t="s">
        <v>55</v>
      </c>
      <c r="G237" s="62"/>
      <c r="H237" s="62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</row>
    <row r="238">
      <c r="A238" s="82">
        <v>46164.0</v>
      </c>
      <c r="B238" s="59" t="s">
        <v>1432</v>
      </c>
      <c r="C238" s="70" t="s">
        <v>1683</v>
      </c>
      <c r="D238" s="58">
        <v>23256.0</v>
      </c>
      <c r="E238" s="59" t="s">
        <v>54</v>
      </c>
      <c r="F238" s="59" t="s">
        <v>55</v>
      </c>
      <c r="G238" s="62"/>
      <c r="H238" s="62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</row>
    <row r="239">
      <c r="A239" s="82">
        <v>46164.0</v>
      </c>
      <c r="B239" s="59" t="s">
        <v>1432</v>
      </c>
      <c r="C239" s="59" t="s">
        <v>1684</v>
      </c>
      <c r="D239" s="58">
        <v>26434.0</v>
      </c>
      <c r="E239" s="59" t="s">
        <v>54</v>
      </c>
      <c r="F239" s="59" t="s">
        <v>55</v>
      </c>
      <c r="G239" s="62"/>
      <c r="H239" s="62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</row>
    <row r="240">
      <c r="A240" s="82">
        <v>46164.0</v>
      </c>
      <c r="B240" s="59" t="s">
        <v>1432</v>
      </c>
      <c r="C240" s="59" t="s">
        <v>1685</v>
      </c>
      <c r="D240" s="58">
        <v>31021.0</v>
      </c>
      <c r="E240" s="59" t="s">
        <v>54</v>
      </c>
      <c r="F240" s="59" t="s">
        <v>55</v>
      </c>
      <c r="G240" s="62"/>
      <c r="H240" s="62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</row>
    <row r="241">
      <c r="A241" s="82">
        <v>46164.0</v>
      </c>
      <c r="B241" s="59" t="s">
        <v>1432</v>
      </c>
      <c r="C241" s="59" t="s">
        <v>1686</v>
      </c>
      <c r="D241" s="58">
        <v>32652.0</v>
      </c>
      <c r="E241" s="59" t="s">
        <v>54</v>
      </c>
      <c r="F241" s="59" t="s">
        <v>55</v>
      </c>
      <c r="G241" s="62"/>
      <c r="H241" s="62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</row>
    <row r="242">
      <c r="A242" s="82">
        <v>46164.0</v>
      </c>
      <c r="B242" s="59" t="s">
        <v>1432</v>
      </c>
      <c r="C242" s="59" t="s">
        <v>1687</v>
      </c>
      <c r="D242" s="58">
        <v>26935.0</v>
      </c>
      <c r="E242" s="59" t="s">
        <v>54</v>
      </c>
      <c r="F242" s="59" t="s">
        <v>55</v>
      </c>
      <c r="G242" s="62"/>
      <c r="H242" s="62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</row>
    <row r="243">
      <c r="A243" s="83">
        <v>46168.0</v>
      </c>
      <c r="B243" s="59" t="s">
        <v>1432</v>
      </c>
      <c r="C243" s="59" t="s">
        <v>1688</v>
      </c>
      <c r="D243" s="58">
        <v>24349.0</v>
      </c>
      <c r="E243" s="59" t="s">
        <v>81</v>
      </c>
      <c r="F243" s="59" t="s">
        <v>55</v>
      </c>
      <c r="G243" s="62"/>
      <c r="H243" s="62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</row>
    <row r="244">
      <c r="A244" s="83">
        <v>46168.0</v>
      </c>
      <c r="B244" s="59" t="s">
        <v>1432</v>
      </c>
      <c r="C244" s="59" t="s">
        <v>1689</v>
      </c>
      <c r="D244" s="61">
        <v>34316.0</v>
      </c>
      <c r="E244" s="59" t="s">
        <v>81</v>
      </c>
      <c r="F244" s="59" t="s">
        <v>55</v>
      </c>
      <c r="G244" s="62"/>
      <c r="H244" s="62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</row>
    <row r="245">
      <c r="A245" s="83">
        <v>46168.0</v>
      </c>
      <c r="B245" s="59" t="s">
        <v>1432</v>
      </c>
      <c r="C245" s="59" t="s">
        <v>1690</v>
      </c>
      <c r="D245" s="61">
        <v>27741.0</v>
      </c>
      <c r="E245" s="59" t="s">
        <v>81</v>
      </c>
      <c r="F245" s="59" t="s">
        <v>55</v>
      </c>
      <c r="G245" s="62"/>
      <c r="H245" s="62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</row>
    <row r="246">
      <c r="A246" s="83">
        <v>46168.0</v>
      </c>
      <c r="B246" s="59" t="s">
        <v>1432</v>
      </c>
      <c r="C246" s="59" t="s">
        <v>1691</v>
      </c>
      <c r="D246" s="58">
        <v>35837.0</v>
      </c>
      <c r="E246" s="59" t="s">
        <v>81</v>
      </c>
      <c r="F246" s="59" t="s">
        <v>55</v>
      </c>
      <c r="G246" s="62"/>
      <c r="H246" s="62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</row>
    <row r="247">
      <c r="A247" s="83">
        <v>46168.0</v>
      </c>
      <c r="B247" s="59" t="s">
        <v>1432</v>
      </c>
      <c r="C247" s="59" t="s">
        <v>1692</v>
      </c>
      <c r="D247" s="58">
        <v>30477.0</v>
      </c>
      <c r="E247" s="59" t="s">
        <v>81</v>
      </c>
      <c r="F247" s="59" t="s">
        <v>55</v>
      </c>
      <c r="G247" s="62"/>
      <c r="H247" s="62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</row>
    <row r="248">
      <c r="A248" s="83">
        <v>46168.0</v>
      </c>
      <c r="B248" s="59" t="s">
        <v>1432</v>
      </c>
      <c r="C248" s="59" t="s">
        <v>1693</v>
      </c>
      <c r="D248" s="58">
        <v>24729.0</v>
      </c>
      <c r="E248" s="59" t="s">
        <v>81</v>
      </c>
      <c r="F248" s="59" t="s">
        <v>55</v>
      </c>
      <c r="G248" s="62"/>
      <c r="H248" s="62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</row>
    <row r="249">
      <c r="A249" s="83">
        <v>46168.0</v>
      </c>
      <c r="B249" s="59" t="s">
        <v>1432</v>
      </c>
      <c r="C249" s="59" t="s">
        <v>1694</v>
      </c>
      <c r="D249" s="58">
        <v>25278.0</v>
      </c>
      <c r="E249" s="59" t="s">
        <v>81</v>
      </c>
      <c r="F249" s="59" t="s">
        <v>55</v>
      </c>
      <c r="G249" s="62"/>
      <c r="H249" s="62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</row>
    <row r="250">
      <c r="A250" s="83">
        <v>46168.0</v>
      </c>
      <c r="B250" s="59" t="s">
        <v>1432</v>
      </c>
      <c r="C250" s="59" t="s">
        <v>1695</v>
      </c>
      <c r="D250" s="58">
        <v>35937.0</v>
      </c>
      <c r="E250" s="59" t="s">
        <v>81</v>
      </c>
      <c r="F250" s="59" t="s">
        <v>55</v>
      </c>
      <c r="G250" s="62"/>
      <c r="H250" s="62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</row>
    <row r="251">
      <c r="A251" s="83">
        <v>46168.0</v>
      </c>
      <c r="B251" s="59" t="s">
        <v>1432</v>
      </c>
      <c r="C251" s="70" t="s">
        <v>1696</v>
      </c>
      <c r="D251" s="61">
        <v>33930.0</v>
      </c>
      <c r="E251" s="59" t="s">
        <v>74</v>
      </c>
      <c r="F251" s="59" t="s">
        <v>55</v>
      </c>
      <c r="G251" s="62"/>
      <c r="H251" s="62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</row>
    <row r="252">
      <c r="A252" s="83">
        <v>46168.0</v>
      </c>
      <c r="B252" s="59" t="s">
        <v>1432</v>
      </c>
      <c r="C252" s="70" t="s">
        <v>1697</v>
      </c>
      <c r="D252" s="58">
        <v>23023.0</v>
      </c>
      <c r="E252" s="59" t="s">
        <v>74</v>
      </c>
      <c r="F252" s="59" t="s">
        <v>55</v>
      </c>
      <c r="G252" s="62"/>
      <c r="H252" s="62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</row>
    <row r="253">
      <c r="A253" s="83">
        <v>46168.0</v>
      </c>
      <c r="B253" s="59" t="s">
        <v>1432</v>
      </c>
      <c r="C253" s="59" t="s">
        <v>1698</v>
      </c>
      <c r="D253" s="58">
        <v>23132.0</v>
      </c>
      <c r="E253" s="59" t="s">
        <v>74</v>
      </c>
      <c r="F253" s="59" t="s">
        <v>55</v>
      </c>
      <c r="G253" s="62"/>
      <c r="H253" s="62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</row>
    <row r="254">
      <c r="A254" s="83">
        <v>46168.0</v>
      </c>
      <c r="B254" s="59" t="s">
        <v>1432</v>
      </c>
      <c r="C254" s="70" t="s">
        <v>1699</v>
      </c>
      <c r="D254" s="58">
        <v>23541.0</v>
      </c>
      <c r="E254" s="59" t="s">
        <v>74</v>
      </c>
      <c r="F254" s="59" t="s">
        <v>55</v>
      </c>
      <c r="G254" s="62"/>
      <c r="H254" s="62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</row>
    <row r="255">
      <c r="A255" s="83">
        <v>46168.0</v>
      </c>
      <c r="B255" s="59" t="s">
        <v>1432</v>
      </c>
      <c r="C255" s="70" t="s">
        <v>1700</v>
      </c>
      <c r="D255" s="58">
        <v>32079.0</v>
      </c>
      <c r="E255" s="59" t="s">
        <v>74</v>
      </c>
      <c r="F255" s="59" t="s">
        <v>55</v>
      </c>
      <c r="G255" s="62"/>
      <c r="H255" s="62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</row>
    <row r="256">
      <c r="A256" s="83">
        <v>46169.0</v>
      </c>
      <c r="B256" s="59" t="s">
        <v>1432</v>
      </c>
      <c r="C256" s="59" t="s">
        <v>1701</v>
      </c>
      <c r="D256" s="58">
        <v>26806.0</v>
      </c>
      <c r="E256" s="59" t="s">
        <v>86</v>
      </c>
      <c r="F256" s="59" t="s">
        <v>55</v>
      </c>
      <c r="G256" s="59">
        <v>3.053439372E9</v>
      </c>
      <c r="H256" s="62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</row>
    <row r="257">
      <c r="A257" s="83">
        <v>46169.0</v>
      </c>
      <c r="B257" s="59" t="s">
        <v>1432</v>
      </c>
      <c r="C257" s="59" t="s">
        <v>1702</v>
      </c>
      <c r="D257" s="58">
        <v>35401.0</v>
      </c>
      <c r="E257" s="59" t="s">
        <v>86</v>
      </c>
      <c r="F257" s="59" t="s">
        <v>55</v>
      </c>
      <c r="G257" s="62"/>
      <c r="H257" s="62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</row>
    <row r="258">
      <c r="A258" s="83">
        <v>46169.0</v>
      </c>
      <c r="B258" s="59" t="s">
        <v>1432</v>
      </c>
      <c r="C258" s="59" t="s">
        <v>1703</v>
      </c>
      <c r="D258" s="58">
        <v>32102.0</v>
      </c>
      <c r="E258" s="59" t="s">
        <v>86</v>
      </c>
      <c r="F258" s="59" t="s">
        <v>55</v>
      </c>
      <c r="G258" s="62"/>
      <c r="H258" s="62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</row>
    <row r="259">
      <c r="A259" s="72">
        <v>46170.0</v>
      </c>
      <c r="B259" s="59" t="s">
        <v>1432</v>
      </c>
      <c r="C259" s="59" t="s">
        <v>1704</v>
      </c>
      <c r="D259" s="58">
        <v>35493.0</v>
      </c>
      <c r="E259" s="59" t="s">
        <v>81</v>
      </c>
      <c r="F259" s="59" t="s">
        <v>55</v>
      </c>
      <c r="G259" s="62"/>
      <c r="H259" s="62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</row>
    <row r="260">
      <c r="A260" s="72">
        <v>46170.0</v>
      </c>
      <c r="B260" s="59" t="s">
        <v>1432</v>
      </c>
      <c r="C260" s="59" t="s">
        <v>1705</v>
      </c>
      <c r="D260" s="58">
        <v>28612.0</v>
      </c>
      <c r="E260" s="59" t="s">
        <v>81</v>
      </c>
      <c r="F260" s="59" t="s">
        <v>55</v>
      </c>
      <c r="G260" s="62"/>
      <c r="H260" s="62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</row>
    <row r="261">
      <c r="A261" s="84">
        <v>46171.0</v>
      </c>
      <c r="B261" s="59" t="s">
        <v>1432</v>
      </c>
      <c r="C261" s="59" t="s">
        <v>1706</v>
      </c>
      <c r="D261" s="58">
        <v>29808.0</v>
      </c>
      <c r="E261" s="59" t="s">
        <v>81</v>
      </c>
      <c r="F261" s="59" t="s">
        <v>55</v>
      </c>
      <c r="G261" s="62"/>
      <c r="H261" s="62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</row>
    <row r="262">
      <c r="A262" s="84">
        <v>46171.0</v>
      </c>
      <c r="B262" s="59" t="s">
        <v>1432</v>
      </c>
      <c r="C262" s="59" t="s">
        <v>1707</v>
      </c>
      <c r="D262" s="58">
        <v>28785.0</v>
      </c>
      <c r="E262" s="59" t="s">
        <v>81</v>
      </c>
      <c r="F262" s="59" t="s">
        <v>55</v>
      </c>
      <c r="G262" s="62"/>
      <c r="H262" s="62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</row>
    <row r="263">
      <c r="A263" s="84">
        <v>46171.0</v>
      </c>
      <c r="B263" s="59" t="s">
        <v>1432</v>
      </c>
      <c r="C263" s="59" t="s">
        <v>1708</v>
      </c>
      <c r="D263" s="58">
        <v>31324.0</v>
      </c>
      <c r="E263" s="59" t="s">
        <v>81</v>
      </c>
      <c r="F263" s="59" t="s">
        <v>55</v>
      </c>
      <c r="G263" s="62"/>
      <c r="H263" s="62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</row>
    <row r="264">
      <c r="A264" s="84">
        <v>46171.0</v>
      </c>
      <c r="B264" s="59" t="s">
        <v>1432</v>
      </c>
      <c r="C264" s="70" t="s">
        <v>1709</v>
      </c>
      <c r="D264" s="58">
        <v>33107.0</v>
      </c>
      <c r="E264" s="59" t="s">
        <v>74</v>
      </c>
      <c r="F264" s="59" t="s">
        <v>55</v>
      </c>
      <c r="G264" s="62"/>
      <c r="H264" s="62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</row>
    <row r="265">
      <c r="A265" s="84">
        <v>46171.0</v>
      </c>
      <c r="B265" s="59" t="s">
        <v>1432</v>
      </c>
      <c r="C265" s="59" t="s">
        <v>1710</v>
      </c>
      <c r="D265" s="58">
        <v>29005.0</v>
      </c>
      <c r="E265" s="59" t="s">
        <v>74</v>
      </c>
      <c r="F265" s="59" t="s">
        <v>55</v>
      </c>
      <c r="G265" s="62"/>
      <c r="H265" s="62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</row>
    <row r="266">
      <c r="A266" s="84">
        <v>46171.0</v>
      </c>
      <c r="B266" s="59" t="s">
        <v>1432</v>
      </c>
      <c r="C266" s="70" t="s">
        <v>1711</v>
      </c>
      <c r="D266" s="58">
        <v>26498.0</v>
      </c>
      <c r="E266" s="59" t="s">
        <v>74</v>
      </c>
      <c r="F266" s="59" t="s">
        <v>55</v>
      </c>
      <c r="G266" s="62"/>
      <c r="H266" s="62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</row>
    <row r="267">
      <c r="A267" s="84">
        <v>46171.0</v>
      </c>
      <c r="B267" s="59" t="s">
        <v>1432</v>
      </c>
      <c r="C267" s="70" t="s">
        <v>1712</v>
      </c>
      <c r="D267" s="58">
        <v>25843.0</v>
      </c>
      <c r="E267" s="59" t="s">
        <v>54</v>
      </c>
      <c r="F267" s="59" t="s">
        <v>55</v>
      </c>
      <c r="G267" s="62"/>
      <c r="H267" s="62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</row>
    <row r="268">
      <c r="A268" s="84">
        <v>46171.0</v>
      </c>
      <c r="B268" s="59" t="s">
        <v>1432</v>
      </c>
      <c r="C268" s="59" t="s">
        <v>1713</v>
      </c>
      <c r="D268" s="58">
        <v>36171.0</v>
      </c>
      <c r="E268" s="59" t="s">
        <v>54</v>
      </c>
      <c r="F268" s="59" t="s">
        <v>55</v>
      </c>
      <c r="G268" s="62"/>
      <c r="H268" s="62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</row>
    <row r="269">
      <c r="A269" s="84">
        <v>46171.0</v>
      </c>
      <c r="B269" s="59" t="s">
        <v>1432</v>
      </c>
      <c r="C269" s="59" t="s">
        <v>1714</v>
      </c>
      <c r="D269" s="58" t="s">
        <v>1715</v>
      </c>
      <c r="E269" s="59" t="s">
        <v>54</v>
      </c>
      <c r="F269" s="59" t="s">
        <v>55</v>
      </c>
      <c r="G269" s="62"/>
      <c r="H269" s="62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</row>
    <row r="270">
      <c r="A270" s="84">
        <v>46171.0</v>
      </c>
      <c r="B270" s="59" t="s">
        <v>1432</v>
      </c>
      <c r="C270" s="59" t="s">
        <v>1716</v>
      </c>
      <c r="D270" s="58">
        <v>32285.0</v>
      </c>
      <c r="E270" s="59" t="s">
        <v>54</v>
      </c>
      <c r="F270" s="59" t="s">
        <v>55</v>
      </c>
      <c r="G270" s="62"/>
      <c r="H270" s="62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</row>
    <row r="271">
      <c r="A271" s="84">
        <v>46171.0</v>
      </c>
      <c r="B271" s="59" t="s">
        <v>1432</v>
      </c>
      <c r="C271" s="70" t="s">
        <v>1717</v>
      </c>
      <c r="D271" s="58">
        <v>26729.0</v>
      </c>
      <c r="E271" s="59" t="s">
        <v>54</v>
      </c>
      <c r="F271" s="59" t="s">
        <v>55</v>
      </c>
      <c r="G271" s="62"/>
      <c r="H271" s="62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</row>
    <row r="272">
      <c r="A272" s="84">
        <v>46171.0</v>
      </c>
      <c r="B272" s="59" t="s">
        <v>1432</v>
      </c>
      <c r="C272" s="70" t="s">
        <v>1718</v>
      </c>
      <c r="D272" s="58">
        <v>28377.0</v>
      </c>
      <c r="E272" s="59" t="s">
        <v>54</v>
      </c>
      <c r="F272" s="59" t="s">
        <v>55</v>
      </c>
      <c r="G272" s="62"/>
      <c r="H272" s="62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</row>
    <row r="273">
      <c r="A273" s="84">
        <v>46171.0</v>
      </c>
      <c r="B273" s="59" t="s">
        <v>1432</v>
      </c>
      <c r="C273" s="59" t="s">
        <v>1719</v>
      </c>
      <c r="D273" s="61">
        <v>33584.0</v>
      </c>
      <c r="E273" s="59" t="s">
        <v>54</v>
      </c>
      <c r="F273" s="59" t="s">
        <v>55</v>
      </c>
      <c r="G273" s="62"/>
      <c r="H273" s="62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</row>
    <row r="274">
      <c r="A274" s="84">
        <v>46171.0</v>
      </c>
      <c r="B274" s="59" t="s">
        <v>1432</v>
      </c>
      <c r="C274" s="59" t="s">
        <v>1720</v>
      </c>
      <c r="D274" s="58">
        <v>29838.0</v>
      </c>
      <c r="E274" s="59" t="s">
        <v>54</v>
      </c>
      <c r="F274" s="59" t="s">
        <v>55</v>
      </c>
      <c r="G274" s="62"/>
      <c r="H274" s="62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</row>
    <row r="275">
      <c r="A275" s="84">
        <v>46171.0</v>
      </c>
      <c r="B275" s="59" t="s">
        <v>1432</v>
      </c>
      <c r="C275" s="70" t="s">
        <v>1721</v>
      </c>
      <c r="D275" s="61">
        <v>24074.0</v>
      </c>
      <c r="E275" s="59" t="s">
        <v>54</v>
      </c>
      <c r="F275" s="59" t="s">
        <v>55</v>
      </c>
      <c r="G275" s="62"/>
      <c r="H275" s="62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</row>
    <row r="276">
      <c r="A276" s="58">
        <v>46175.0</v>
      </c>
      <c r="B276" s="59" t="s">
        <v>1432</v>
      </c>
      <c r="C276" s="70" t="s">
        <v>1722</v>
      </c>
      <c r="D276" s="58">
        <v>33083.0</v>
      </c>
      <c r="E276" s="59" t="s">
        <v>54</v>
      </c>
      <c r="F276" s="59" t="s">
        <v>55</v>
      </c>
      <c r="G276" s="62"/>
      <c r="H276" s="62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</row>
    <row r="277">
      <c r="A277" s="58">
        <v>46175.0</v>
      </c>
      <c r="B277" s="59" t="s">
        <v>1432</v>
      </c>
      <c r="C277" s="70" t="s">
        <v>1723</v>
      </c>
      <c r="D277" s="61">
        <v>25494.0</v>
      </c>
      <c r="E277" s="59" t="s">
        <v>54</v>
      </c>
      <c r="F277" s="59" t="s">
        <v>55</v>
      </c>
      <c r="G277" s="62"/>
      <c r="H277" s="62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</row>
    <row r="278">
      <c r="A278" s="58">
        <v>46175.0</v>
      </c>
      <c r="B278" s="59" t="s">
        <v>1432</v>
      </c>
      <c r="C278" s="70" t="s">
        <v>1724</v>
      </c>
      <c r="D278" s="58">
        <v>25363.0</v>
      </c>
      <c r="E278" s="59" t="s">
        <v>54</v>
      </c>
      <c r="F278" s="59" t="s">
        <v>55</v>
      </c>
      <c r="G278" s="62"/>
      <c r="H278" s="62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</row>
    <row r="279">
      <c r="A279" s="58">
        <v>46175.0</v>
      </c>
      <c r="B279" s="59" t="s">
        <v>1432</v>
      </c>
      <c r="C279" s="70" t="s">
        <v>1725</v>
      </c>
      <c r="D279" s="58">
        <v>25697.0</v>
      </c>
      <c r="E279" s="59" t="s">
        <v>54</v>
      </c>
      <c r="F279" s="59" t="s">
        <v>55</v>
      </c>
      <c r="G279" s="62"/>
      <c r="H279" s="62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</row>
    <row r="280">
      <c r="A280" s="58">
        <v>46175.0</v>
      </c>
      <c r="B280" s="59" t="s">
        <v>1432</v>
      </c>
      <c r="C280" s="70" t="s">
        <v>1726</v>
      </c>
      <c r="D280" s="58">
        <v>27309.0</v>
      </c>
      <c r="E280" s="59" t="s">
        <v>54</v>
      </c>
      <c r="F280" s="59" t="s">
        <v>55</v>
      </c>
      <c r="G280" s="62"/>
      <c r="H280" s="62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</row>
    <row r="281">
      <c r="A281" s="58">
        <v>46175.0</v>
      </c>
      <c r="B281" s="59" t="s">
        <v>1432</v>
      </c>
      <c r="C281" s="59" t="s">
        <v>1727</v>
      </c>
      <c r="D281" s="58">
        <v>32510.0</v>
      </c>
      <c r="E281" s="59" t="s">
        <v>54</v>
      </c>
      <c r="F281" s="59" t="s">
        <v>55</v>
      </c>
      <c r="G281" s="62"/>
      <c r="H281" s="62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</row>
    <row r="282">
      <c r="A282" s="58">
        <v>46175.0</v>
      </c>
      <c r="B282" s="59" t="s">
        <v>1432</v>
      </c>
      <c r="C282" s="70" t="s">
        <v>1728</v>
      </c>
      <c r="D282" s="58">
        <v>31180.0</v>
      </c>
      <c r="E282" s="59" t="s">
        <v>54</v>
      </c>
      <c r="F282" s="59" t="s">
        <v>55</v>
      </c>
      <c r="G282" s="62"/>
      <c r="H282" s="62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</row>
    <row r="283">
      <c r="A283" s="58">
        <v>46175.0</v>
      </c>
      <c r="B283" s="59" t="s">
        <v>1432</v>
      </c>
      <c r="C283" s="70" t="s">
        <v>1729</v>
      </c>
      <c r="D283" s="58">
        <v>24781.0</v>
      </c>
      <c r="E283" s="59" t="s">
        <v>81</v>
      </c>
      <c r="F283" s="59" t="s">
        <v>55</v>
      </c>
      <c r="G283" s="62"/>
      <c r="H283" s="62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</row>
    <row r="284">
      <c r="A284" s="58">
        <v>46175.0</v>
      </c>
      <c r="B284" s="59" t="s">
        <v>1432</v>
      </c>
      <c r="C284" s="59" t="s">
        <v>1730</v>
      </c>
      <c r="D284" s="61">
        <v>29180.0</v>
      </c>
      <c r="E284" s="59" t="s">
        <v>74</v>
      </c>
      <c r="F284" s="59" t="s">
        <v>55</v>
      </c>
      <c r="G284" s="62"/>
      <c r="H284" s="62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</row>
    <row r="285">
      <c r="A285" s="58">
        <v>46175.0</v>
      </c>
      <c r="B285" s="59" t="s">
        <v>1432</v>
      </c>
      <c r="C285" s="70" t="s">
        <v>1731</v>
      </c>
      <c r="D285" s="58">
        <v>32553.0</v>
      </c>
      <c r="E285" s="59" t="s">
        <v>74</v>
      </c>
      <c r="F285" s="59" t="s">
        <v>55</v>
      </c>
      <c r="G285" s="62"/>
      <c r="H285" s="62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</row>
    <row r="286">
      <c r="A286" s="58">
        <v>46175.0</v>
      </c>
      <c r="B286" s="59" t="s">
        <v>1432</v>
      </c>
      <c r="C286" s="70" t="s">
        <v>1732</v>
      </c>
      <c r="D286" s="58">
        <v>33070.0</v>
      </c>
      <c r="E286" s="59" t="s">
        <v>74</v>
      </c>
      <c r="F286" s="59" t="s">
        <v>55</v>
      </c>
      <c r="G286" s="62"/>
      <c r="H286" s="62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</row>
    <row r="287">
      <c r="A287" s="58">
        <v>46175.0</v>
      </c>
      <c r="B287" s="59" t="s">
        <v>1432</v>
      </c>
      <c r="C287" s="70" t="s">
        <v>1733</v>
      </c>
      <c r="D287" s="58">
        <v>29608.0</v>
      </c>
      <c r="E287" s="59" t="s">
        <v>74</v>
      </c>
      <c r="F287" s="59" t="s">
        <v>55</v>
      </c>
      <c r="G287" s="62"/>
      <c r="H287" s="62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</row>
    <row r="288">
      <c r="A288" s="58">
        <v>46176.0</v>
      </c>
      <c r="B288" s="59" t="s">
        <v>1432</v>
      </c>
      <c r="C288" s="59" t="s">
        <v>1734</v>
      </c>
      <c r="D288" s="58">
        <v>29966.0</v>
      </c>
      <c r="E288" s="59" t="s">
        <v>74</v>
      </c>
      <c r="F288" s="59" t="s">
        <v>55</v>
      </c>
      <c r="G288" s="62"/>
      <c r="H288" s="62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</row>
    <row r="289">
      <c r="A289" s="58">
        <v>46176.0</v>
      </c>
      <c r="B289" s="59" t="s">
        <v>1432</v>
      </c>
      <c r="C289" s="59" t="s">
        <v>1735</v>
      </c>
      <c r="D289" s="58">
        <v>28236.0</v>
      </c>
      <c r="E289" s="59" t="s">
        <v>74</v>
      </c>
      <c r="F289" s="59" t="s">
        <v>55</v>
      </c>
      <c r="G289" s="62"/>
      <c r="H289" s="62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</row>
    <row r="290">
      <c r="A290" s="85">
        <v>46176.0</v>
      </c>
      <c r="B290" s="59" t="s">
        <v>1432</v>
      </c>
      <c r="C290" s="59" t="s">
        <v>1736</v>
      </c>
      <c r="D290" s="58">
        <v>31119.0</v>
      </c>
      <c r="E290" s="59" t="s">
        <v>74</v>
      </c>
      <c r="F290" s="59" t="s">
        <v>55</v>
      </c>
      <c r="G290" s="62"/>
      <c r="H290" s="62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</row>
    <row r="291">
      <c r="A291" s="85">
        <v>46176.0</v>
      </c>
      <c r="B291" s="59" t="s">
        <v>1432</v>
      </c>
      <c r="C291" s="59" t="s">
        <v>1737</v>
      </c>
      <c r="D291" s="58">
        <v>32719.0</v>
      </c>
      <c r="E291" s="59" t="s">
        <v>54</v>
      </c>
      <c r="F291" s="59" t="s">
        <v>55</v>
      </c>
      <c r="G291" s="62"/>
      <c r="H291" s="62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</row>
    <row r="292">
      <c r="A292" s="85">
        <v>46176.0</v>
      </c>
      <c r="B292" s="59" t="s">
        <v>1432</v>
      </c>
      <c r="C292" s="59" t="s">
        <v>1738</v>
      </c>
      <c r="D292" s="58">
        <v>25628.0</v>
      </c>
      <c r="E292" s="59" t="s">
        <v>54</v>
      </c>
      <c r="F292" s="59" t="s">
        <v>55</v>
      </c>
      <c r="G292" s="62"/>
      <c r="H292" s="62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</row>
    <row r="293">
      <c r="A293" s="85">
        <v>46176.0</v>
      </c>
      <c r="B293" s="59" t="s">
        <v>1432</v>
      </c>
      <c r="C293" s="59" t="s">
        <v>1739</v>
      </c>
      <c r="D293" s="58">
        <v>28663.0</v>
      </c>
      <c r="E293" s="59" t="s">
        <v>54</v>
      </c>
      <c r="F293" s="59" t="s">
        <v>55</v>
      </c>
      <c r="G293" s="62"/>
      <c r="H293" s="62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</row>
    <row r="294">
      <c r="A294" s="85">
        <v>46176.0</v>
      </c>
      <c r="B294" s="59" t="s">
        <v>1432</v>
      </c>
      <c r="C294" s="59" t="s">
        <v>1740</v>
      </c>
      <c r="D294" s="58">
        <v>23285.0</v>
      </c>
      <c r="E294" s="59" t="s">
        <v>54</v>
      </c>
      <c r="F294" s="59" t="s">
        <v>55</v>
      </c>
      <c r="G294" s="62"/>
      <c r="H294" s="62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</row>
    <row r="295">
      <c r="A295" s="85">
        <v>46176.0</v>
      </c>
      <c r="B295" s="59" t="s">
        <v>1432</v>
      </c>
      <c r="C295" s="59" t="s">
        <v>1741</v>
      </c>
      <c r="D295" s="58">
        <v>26970.0</v>
      </c>
      <c r="E295" s="59" t="s">
        <v>54</v>
      </c>
      <c r="F295" s="59" t="s">
        <v>55</v>
      </c>
      <c r="G295" s="62"/>
      <c r="H295" s="62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</row>
    <row r="296">
      <c r="A296" s="85">
        <v>46176.0</v>
      </c>
      <c r="B296" s="59" t="s">
        <v>1432</v>
      </c>
      <c r="C296" s="59" t="s">
        <v>1742</v>
      </c>
      <c r="D296" s="58">
        <v>24402.0</v>
      </c>
      <c r="E296" s="59" t="s">
        <v>54</v>
      </c>
      <c r="F296" s="59" t="s">
        <v>55</v>
      </c>
      <c r="G296" s="62"/>
      <c r="H296" s="62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</row>
    <row r="297">
      <c r="A297" s="85">
        <v>46176.0</v>
      </c>
      <c r="B297" s="59" t="s">
        <v>1432</v>
      </c>
      <c r="C297" s="59" t="s">
        <v>1743</v>
      </c>
      <c r="D297" s="58">
        <v>32177.0</v>
      </c>
      <c r="E297" s="59" t="s">
        <v>54</v>
      </c>
      <c r="F297" s="59" t="s">
        <v>55</v>
      </c>
      <c r="G297" s="62"/>
      <c r="H297" s="62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</row>
    <row r="298">
      <c r="A298" s="85">
        <v>46176.0</v>
      </c>
      <c r="B298" s="59" t="s">
        <v>1432</v>
      </c>
      <c r="C298" s="59" t="s">
        <v>1744</v>
      </c>
      <c r="D298" s="58">
        <v>31759.0</v>
      </c>
      <c r="E298" s="59" t="s">
        <v>81</v>
      </c>
      <c r="F298" s="59" t="s">
        <v>55</v>
      </c>
      <c r="G298" s="62"/>
      <c r="H298" s="62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</row>
    <row r="299">
      <c r="A299" s="85">
        <v>46177.0</v>
      </c>
      <c r="B299" s="59" t="s">
        <v>1432</v>
      </c>
      <c r="C299" s="59" t="s">
        <v>1745</v>
      </c>
      <c r="D299" s="58">
        <v>29648.0</v>
      </c>
      <c r="E299" s="59" t="s">
        <v>81</v>
      </c>
      <c r="F299" s="59" t="s">
        <v>55</v>
      </c>
      <c r="G299" s="62"/>
      <c r="H299" s="62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</row>
    <row r="300">
      <c r="A300" s="85">
        <v>46177.0</v>
      </c>
      <c r="B300" s="59" t="s">
        <v>1432</v>
      </c>
      <c r="C300" s="59" t="s">
        <v>1746</v>
      </c>
      <c r="D300" s="58">
        <v>25383.0</v>
      </c>
      <c r="E300" s="59" t="s">
        <v>81</v>
      </c>
      <c r="F300" s="59" t="s">
        <v>55</v>
      </c>
      <c r="G300" s="62"/>
      <c r="H300" s="62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</row>
    <row r="301">
      <c r="A301" s="85">
        <v>46177.0</v>
      </c>
      <c r="B301" s="59" t="s">
        <v>1432</v>
      </c>
      <c r="C301" s="59" t="s">
        <v>1747</v>
      </c>
      <c r="D301" s="58">
        <v>24200.0</v>
      </c>
      <c r="E301" s="59" t="s">
        <v>81</v>
      </c>
      <c r="F301" s="59" t="s">
        <v>55</v>
      </c>
      <c r="G301" s="62"/>
      <c r="H301" s="62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</row>
    <row r="302">
      <c r="A302" s="85">
        <v>46177.0</v>
      </c>
      <c r="B302" s="59" t="s">
        <v>1432</v>
      </c>
      <c r="C302" s="59" t="s">
        <v>1748</v>
      </c>
      <c r="D302" s="58">
        <v>34135.0</v>
      </c>
      <c r="E302" s="59" t="s">
        <v>81</v>
      </c>
      <c r="F302" s="59" t="s">
        <v>55</v>
      </c>
      <c r="G302" s="62"/>
      <c r="H302" s="62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</row>
    <row r="303">
      <c r="A303" s="85">
        <v>46177.0</v>
      </c>
      <c r="B303" s="59" t="s">
        <v>1432</v>
      </c>
      <c r="C303" s="59" t="s">
        <v>1749</v>
      </c>
      <c r="D303" s="58">
        <v>22965.0</v>
      </c>
      <c r="E303" s="59" t="s">
        <v>81</v>
      </c>
      <c r="F303" s="59" t="s">
        <v>55</v>
      </c>
      <c r="G303" s="62"/>
      <c r="H303" s="62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</row>
    <row r="304">
      <c r="A304" s="85">
        <v>46177.0</v>
      </c>
      <c r="B304" s="59" t="s">
        <v>1432</v>
      </c>
      <c r="C304" s="59" t="s">
        <v>1750</v>
      </c>
      <c r="D304" s="58">
        <v>32559.0</v>
      </c>
      <c r="E304" s="59" t="s">
        <v>81</v>
      </c>
      <c r="F304" s="59" t="s">
        <v>55</v>
      </c>
      <c r="G304" s="62"/>
      <c r="H304" s="62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</row>
    <row r="305">
      <c r="A305" s="85">
        <v>46177.0</v>
      </c>
      <c r="B305" s="59" t="s">
        <v>1432</v>
      </c>
      <c r="C305" s="59" t="s">
        <v>1751</v>
      </c>
      <c r="D305" s="58">
        <v>36439.0</v>
      </c>
      <c r="E305" s="59" t="s">
        <v>81</v>
      </c>
      <c r="F305" s="59" t="s">
        <v>55</v>
      </c>
      <c r="G305" s="62"/>
      <c r="H305" s="62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</row>
    <row r="306">
      <c r="A306" s="85">
        <v>46177.0</v>
      </c>
      <c r="B306" s="59" t="s">
        <v>1432</v>
      </c>
      <c r="C306" s="59" t="s">
        <v>1752</v>
      </c>
      <c r="D306" s="58">
        <v>27678.0</v>
      </c>
      <c r="E306" s="59" t="s">
        <v>81</v>
      </c>
      <c r="F306" s="59" t="s">
        <v>55</v>
      </c>
      <c r="G306" s="62"/>
      <c r="H306" s="62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</row>
    <row r="307">
      <c r="A307" s="85">
        <v>46177.0</v>
      </c>
      <c r="B307" s="59" t="s">
        <v>1432</v>
      </c>
      <c r="C307" s="59" t="s">
        <v>1753</v>
      </c>
      <c r="D307" s="58">
        <v>23657.0</v>
      </c>
      <c r="E307" s="59" t="s">
        <v>81</v>
      </c>
      <c r="F307" s="59" t="s">
        <v>55</v>
      </c>
      <c r="G307" s="62"/>
      <c r="H307" s="62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</row>
    <row r="308">
      <c r="A308" s="85">
        <v>46177.0</v>
      </c>
      <c r="B308" s="59" t="s">
        <v>1432</v>
      </c>
      <c r="C308" s="59" t="s">
        <v>1754</v>
      </c>
      <c r="D308" s="58">
        <v>34999.0</v>
      </c>
      <c r="E308" s="59" t="s">
        <v>81</v>
      </c>
      <c r="F308" s="59" t="s">
        <v>55</v>
      </c>
      <c r="G308" s="62"/>
      <c r="H308" s="62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</row>
    <row r="309">
      <c r="A309" s="85">
        <v>46177.0</v>
      </c>
      <c r="B309" s="59" t="s">
        <v>1432</v>
      </c>
      <c r="C309" s="65" t="s">
        <v>1755</v>
      </c>
      <c r="D309" s="58">
        <v>22430.0</v>
      </c>
      <c r="E309" s="59" t="s">
        <v>54</v>
      </c>
      <c r="F309" s="59" t="s">
        <v>55</v>
      </c>
      <c r="G309" s="62"/>
      <c r="H309" s="62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</row>
    <row r="310">
      <c r="A310" s="85">
        <v>46177.0</v>
      </c>
      <c r="B310" s="59" t="s">
        <v>1432</v>
      </c>
      <c r="C310" s="59" t="s">
        <v>1756</v>
      </c>
      <c r="D310" s="58">
        <v>26791.0</v>
      </c>
      <c r="E310" s="59" t="s">
        <v>54</v>
      </c>
      <c r="F310" s="59" t="s">
        <v>55</v>
      </c>
      <c r="G310" s="62"/>
      <c r="H310" s="62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</row>
    <row r="311">
      <c r="A311" s="85">
        <v>46177.0</v>
      </c>
      <c r="B311" s="59" t="s">
        <v>1432</v>
      </c>
      <c r="C311" s="59" t="s">
        <v>1757</v>
      </c>
      <c r="D311" s="58">
        <v>28581.0</v>
      </c>
      <c r="E311" s="59" t="s">
        <v>54</v>
      </c>
      <c r="F311" s="59" t="s">
        <v>55</v>
      </c>
      <c r="G311" s="62"/>
      <c r="H311" s="62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</row>
    <row r="312">
      <c r="A312" s="85">
        <v>46177.0</v>
      </c>
      <c r="B312" s="59" t="s">
        <v>1432</v>
      </c>
      <c r="C312" s="59" t="s">
        <v>1758</v>
      </c>
      <c r="D312" s="58">
        <v>27460.0</v>
      </c>
      <c r="E312" s="59" t="s">
        <v>54</v>
      </c>
      <c r="F312" s="59" t="s">
        <v>55</v>
      </c>
      <c r="G312" s="62"/>
      <c r="H312" s="62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</row>
    <row r="313">
      <c r="A313" s="85">
        <v>46177.0</v>
      </c>
      <c r="B313" s="59" t="s">
        <v>1432</v>
      </c>
      <c r="C313" s="59" t="s">
        <v>1759</v>
      </c>
      <c r="D313" s="58">
        <v>35359.0</v>
      </c>
      <c r="E313" s="59" t="s">
        <v>54</v>
      </c>
      <c r="F313" s="59" t="s">
        <v>55</v>
      </c>
      <c r="G313" s="62"/>
      <c r="H313" s="62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</row>
    <row r="314">
      <c r="A314" s="85">
        <v>46177.0</v>
      </c>
      <c r="B314" s="59" t="s">
        <v>1432</v>
      </c>
      <c r="C314" s="59" t="s">
        <v>1760</v>
      </c>
      <c r="D314" s="58">
        <v>37516.0</v>
      </c>
      <c r="E314" s="59" t="s">
        <v>54</v>
      </c>
      <c r="F314" s="59" t="s">
        <v>55</v>
      </c>
      <c r="G314" s="62"/>
      <c r="H314" s="62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</row>
    <row r="315">
      <c r="A315" s="85">
        <v>46177.0</v>
      </c>
      <c r="B315" s="59" t="s">
        <v>1432</v>
      </c>
      <c r="C315" s="59" t="s">
        <v>1761</v>
      </c>
      <c r="D315" s="58">
        <v>23038.0</v>
      </c>
      <c r="E315" s="59" t="s">
        <v>54</v>
      </c>
      <c r="F315" s="59" t="s">
        <v>55</v>
      </c>
      <c r="G315" s="62"/>
      <c r="H315" s="62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</row>
    <row r="316">
      <c r="A316" s="85">
        <v>46177.0</v>
      </c>
      <c r="B316" s="59" t="s">
        <v>1432</v>
      </c>
      <c r="C316" s="59" t="s">
        <v>1762</v>
      </c>
      <c r="D316" s="58">
        <v>27968.0</v>
      </c>
      <c r="E316" s="59" t="s">
        <v>54</v>
      </c>
      <c r="F316" s="59" t="s">
        <v>55</v>
      </c>
      <c r="G316" s="62"/>
      <c r="H316" s="62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</row>
    <row r="317">
      <c r="A317" s="85">
        <v>46177.0</v>
      </c>
      <c r="B317" s="59" t="s">
        <v>1432</v>
      </c>
      <c r="C317" s="59" t="s">
        <v>1763</v>
      </c>
      <c r="D317" s="58">
        <v>25583.0</v>
      </c>
      <c r="E317" s="59" t="s">
        <v>54</v>
      </c>
      <c r="F317" s="59" t="s">
        <v>55</v>
      </c>
      <c r="G317" s="62"/>
      <c r="H317" s="62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</row>
    <row r="318">
      <c r="A318" s="85">
        <v>46177.0</v>
      </c>
      <c r="B318" s="59" t="s">
        <v>1432</v>
      </c>
      <c r="C318" s="59" t="s">
        <v>1764</v>
      </c>
      <c r="D318" s="58">
        <v>28897.0</v>
      </c>
      <c r="E318" s="59" t="s">
        <v>54</v>
      </c>
      <c r="F318" s="59" t="s">
        <v>55</v>
      </c>
      <c r="G318" s="62"/>
      <c r="H318" s="62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</row>
    <row r="319">
      <c r="A319" s="85">
        <v>46177.0</v>
      </c>
      <c r="B319" s="59" t="s">
        <v>1432</v>
      </c>
      <c r="C319" s="59" t="s">
        <v>1765</v>
      </c>
      <c r="D319" s="58">
        <v>32341.0</v>
      </c>
      <c r="E319" s="59" t="s">
        <v>54</v>
      </c>
      <c r="F319" s="59" t="s">
        <v>55</v>
      </c>
      <c r="G319" s="62"/>
      <c r="H319" s="62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</row>
    <row r="320">
      <c r="A320" s="85">
        <v>46177.0</v>
      </c>
      <c r="B320" s="59" t="s">
        <v>1432</v>
      </c>
      <c r="C320" s="59" t="s">
        <v>1766</v>
      </c>
      <c r="D320" s="58">
        <v>32420.0</v>
      </c>
      <c r="E320" s="59" t="s">
        <v>54</v>
      </c>
      <c r="F320" s="59" t="s">
        <v>55</v>
      </c>
      <c r="G320" s="62"/>
      <c r="H320" s="62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</row>
    <row r="321">
      <c r="A321" s="85">
        <v>46177.0</v>
      </c>
      <c r="B321" s="59" t="s">
        <v>1432</v>
      </c>
      <c r="C321" s="59" t="s">
        <v>1767</v>
      </c>
      <c r="D321" s="58">
        <v>24935.0</v>
      </c>
      <c r="E321" s="59" t="s">
        <v>54</v>
      </c>
      <c r="F321" s="59" t="s">
        <v>55</v>
      </c>
      <c r="G321" s="62"/>
      <c r="H321" s="62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</row>
    <row r="322">
      <c r="A322" s="85">
        <v>46177.0</v>
      </c>
      <c r="B322" s="59" t="s">
        <v>1432</v>
      </c>
      <c r="C322" s="59" t="s">
        <v>1768</v>
      </c>
      <c r="D322" s="58">
        <v>28748.0</v>
      </c>
      <c r="E322" s="59" t="s">
        <v>54</v>
      </c>
      <c r="F322" s="59" t="s">
        <v>55</v>
      </c>
      <c r="G322" s="62"/>
      <c r="H322" s="62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</row>
    <row r="323">
      <c r="A323" s="85">
        <v>46177.0</v>
      </c>
      <c r="B323" s="59" t="s">
        <v>1432</v>
      </c>
      <c r="C323" s="59" t="s">
        <v>1769</v>
      </c>
      <c r="D323" s="58">
        <v>25807.0</v>
      </c>
      <c r="E323" s="59" t="s">
        <v>54</v>
      </c>
      <c r="F323" s="59" t="s">
        <v>55</v>
      </c>
      <c r="G323" s="62"/>
      <c r="H323" s="62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</row>
    <row r="324">
      <c r="A324" s="85">
        <v>46177.0</v>
      </c>
      <c r="B324" s="59" t="s">
        <v>1432</v>
      </c>
      <c r="C324" s="59" t="s">
        <v>1770</v>
      </c>
      <c r="D324" s="61">
        <v>29566.0</v>
      </c>
      <c r="E324" s="59" t="s">
        <v>54</v>
      </c>
      <c r="F324" s="59" t="s">
        <v>55</v>
      </c>
      <c r="G324" s="62"/>
      <c r="H324" s="62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</row>
    <row r="325">
      <c r="A325" s="85">
        <v>46177.0</v>
      </c>
      <c r="B325" s="59" t="s">
        <v>1432</v>
      </c>
      <c r="C325" s="59" t="s">
        <v>1771</v>
      </c>
      <c r="D325" s="58">
        <v>21922.0</v>
      </c>
      <c r="E325" s="59" t="s">
        <v>54</v>
      </c>
      <c r="F325" s="59" t="s">
        <v>55</v>
      </c>
      <c r="G325" s="62"/>
      <c r="H325" s="62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</row>
    <row r="326">
      <c r="A326" s="86">
        <v>46177.0</v>
      </c>
      <c r="B326" s="87" t="s">
        <v>1432</v>
      </c>
      <c r="C326" s="87" t="s">
        <v>1772</v>
      </c>
      <c r="D326" s="88">
        <v>34283.0</v>
      </c>
      <c r="E326" s="87" t="s">
        <v>54</v>
      </c>
      <c r="F326" s="87" t="s">
        <v>55</v>
      </c>
      <c r="G326" s="89"/>
      <c r="H326" s="90" t="s">
        <v>1773</v>
      </c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</row>
    <row r="327">
      <c r="A327" s="85">
        <v>46177.0</v>
      </c>
      <c r="B327" s="59" t="s">
        <v>1432</v>
      </c>
      <c r="C327" s="59" t="s">
        <v>1774</v>
      </c>
      <c r="D327" s="61">
        <v>23737.0</v>
      </c>
      <c r="E327" s="59" t="s">
        <v>54</v>
      </c>
      <c r="F327" s="59" t="s">
        <v>55</v>
      </c>
      <c r="G327" s="62"/>
      <c r="H327" s="62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</row>
    <row r="328">
      <c r="A328" s="85">
        <v>46178.0</v>
      </c>
      <c r="B328" s="59" t="s">
        <v>1432</v>
      </c>
      <c r="C328" s="92" t="s">
        <v>1775</v>
      </c>
      <c r="D328" s="93">
        <v>33607.0</v>
      </c>
      <c r="E328" s="92" t="s">
        <v>749</v>
      </c>
      <c r="F328" s="94" t="s">
        <v>55</v>
      </c>
      <c r="G328" s="87"/>
      <c r="H328" s="62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</row>
    <row r="329">
      <c r="A329" s="85">
        <v>46178.0</v>
      </c>
      <c r="B329" s="59" t="s">
        <v>1432</v>
      </c>
      <c r="C329" s="92" t="s">
        <v>1776</v>
      </c>
      <c r="D329" s="93">
        <v>31512.0</v>
      </c>
      <c r="E329" s="92" t="s">
        <v>749</v>
      </c>
      <c r="F329" s="94" t="s">
        <v>55</v>
      </c>
      <c r="G329" s="87"/>
      <c r="H329" s="62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</row>
    <row r="330">
      <c r="A330" s="85">
        <v>46178.0</v>
      </c>
      <c r="B330" s="59" t="s">
        <v>1432</v>
      </c>
      <c r="C330" s="92" t="s">
        <v>1777</v>
      </c>
      <c r="D330" s="93">
        <v>28513.0</v>
      </c>
      <c r="E330" s="92" t="s">
        <v>749</v>
      </c>
      <c r="F330" s="94" t="s">
        <v>55</v>
      </c>
      <c r="G330" s="87"/>
      <c r="H330" s="62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</row>
    <row r="331">
      <c r="A331" s="85">
        <v>46181.0</v>
      </c>
      <c r="B331" s="59" t="s">
        <v>1432</v>
      </c>
      <c r="C331" s="92" t="s">
        <v>1778</v>
      </c>
      <c r="D331" s="93">
        <v>25787.0</v>
      </c>
      <c r="E331" s="92" t="s">
        <v>769</v>
      </c>
      <c r="F331" s="94" t="s">
        <v>55</v>
      </c>
      <c r="G331" s="94">
        <v>7.866780769E9</v>
      </c>
      <c r="H331" s="62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</row>
    <row r="332">
      <c r="A332" s="85">
        <v>46181.0</v>
      </c>
      <c r="B332" s="59" t="s">
        <v>1432</v>
      </c>
      <c r="C332" s="92" t="s">
        <v>1779</v>
      </c>
      <c r="D332" s="93">
        <v>22253.0</v>
      </c>
      <c r="E332" s="92" t="s">
        <v>769</v>
      </c>
      <c r="F332" s="94" t="s">
        <v>55</v>
      </c>
      <c r="G332" s="94">
        <v>7.328520707E9</v>
      </c>
      <c r="H332" s="59" t="s">
        <v>1780</v>
      </c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</row>
    <row r="333">
      <c r="A333" s="85">
        <v>46181.0</v>
      </c>
      <c r="B333" s="59" t="s">
        <v>1432</v>
      </c>
      <c r="C333" s="92" t="s">
        <v>1781</v>
      </c>
      <c r="D333" s="93">
        <v>26132.0</v>
      </c>
      <c r="E333" s="92" t="s">
        <v>749</v>
      </c>
      <c r="F333" s="94" t="s">
        <v>55</v>
      </c>
      <c r="G333" s="87" t="s">
        <v>1782</v>
      </c>
      <c r="H333" s="59" t="s">
        <v>1783</v>
      </c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</row>
    <row r="334">
      <c r="A334" s="85">
        <v>46181.0</v>
      </c>
      <c r="B334" s="59" t="s">
        <v>1432</v>
      </c>
      <c r="C334" s="92" t="s">
        <v>1784</v>
      </c>
      <c r="D334" s="93">
        <v>32768.0</v>
      </c>
      <c r="E334" s="92" t="s">
        <v>749</v>
      </c>
      <c r="F334" s="94" t="s">
        <v>55</v>
      </c>
      <c r="G334" s="87" t="s">
        <v>1785</v>
      </c>
      <c r="H334" s="59" t="s">
        <v>1786</v>
      </c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</row>
    <row r="335">
      <c r="A335" s="85">
        <v>46181.0</v>
      </c>
      <c r="B335" s="59" t="s">
        <v>1432</v>
      </c>
      <c r="C335" s="92" t="s">
        <v>1787</v>
      </c>
      <c r="D335" s="93">
        <v>34387.0</v>
      </c>
      <c r="E335" s="92" t="s">
        <v>749</v>
      </c>
      <c r="F335" s="94" t="s">
        <v>55</v>
      </c>
      <c r="G335" s="87">
        <v>9.543050161E9</v>
      </c>
      <c r="H335" s="59" t="s">
        <v>1788</v>
      </c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</row>
    <row r="336">
      <c r="A336" s="85">
        <v>46181.0</v>
      </c>
      <c r="B336" s="59" t="s">
        <v>1432</v>
      </c>
      <c r="C336" s="92" t="s">
        <v>1789</v>
      </c>
      <c r="D336" s="93">
        <v>30748.0</v>
      </c>
      <c r="E336" s="92" t="s">
        <v>749</v>
      </c>
      <c r="F336" s="94" t="s">
        <v>55</v>
      </c>
      <c r="G336" s="94">
        <v>2.394385463E9</v>
      </c>
      <c r="H336" s="59" t="s">
        <v>1790</v>
      </c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</row>
    <row r="337">
      <c r="A337" s="95">
        <v>46182.0</v>
      </c>
      <c r="B337" s="59" t="s">
        <v>1432</v>
      </c>
      <c r="C337" s="92" t="s">
        <v>1791</v>
      </c>
      <c r="D337" s="93">
        <v>30783.0</v>
      </c>
      <c r="E337" s="92" t="s">
        <v>81</v>
      </c>
      <c r="F337" s="94" t="s">
        <v>55</v>
      </c>
      <c r="G337" s="94">
        <v>3.055481089E9</v>
      </c>
      <c r="H337" s="62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</row>
    <row r="338">
      <c r="A338" s="96">
        <v>46189.0</v>
      </c>
      <c r="B338" s="59" t="s">
        <v>1432</v>
      </c>
      <c r="C338" s="92" t="s">
        <v>1792</v>
      </c>
      <c r="D338" s="93">
        <v>25810.0</v>
      </c>
      <c r="E338" s="94" t="s">
        <v>722</v>
      </c>
      <c r="F338" s="94" t="s">
        <v>55</v>
      </c>
      <c r="G338" s="94" t="s">
        <v>1793</v>
      </c>
      <c r="H338" s="94" t="s">
        <v>1794</v>
      </c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</row>
    <row r="339">
      <c r="A339" s="96">
        <v>46189.0</v>
      </c>
      <c r="B339" s="59" t="s">
        <v>1432</v>
      </c>
      <c r="C339" s="92" t="s">
        <v>1795</v>
      </c>
      <c r="D339" s="93">
        <v>30486.0</v>
      </c>
      <c r="E339" s="94" t="s">
        <v>722</v>
      </c>
      <c r="F339" s="94" t="s">
        <v>55</v>
      </c>
      <c r="G339" s="94" t="s">
        <v>1796</v>
      </c>
      <c r="H339" s="94" t="s">
        <v>1797</v>
      </c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</row>
    <row r="340">
      <c r="A340" s="96">
        <v>46189.0</v>
      </c>
      <c r="B340" s="59" t="s">
        <v>1432</v>
      </c>
      <c r="C340" s="92" t="s">
        <v>1798</v>
      </c>
      <c r="D340" s="97">
        <v>26601.0</v>
      </c>
      <c r="E340" s="94" t="s">
        <v>722</v>
      </c>
      <c r="F340" s="94" t="s">
        <v>55</v>
      </c>
      <c r="G340" s="94" t="s">
        <v>1799</v>
      </c>
      <c r="H340" s="94" t="s">
        <v>1800</v>
      </c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</row>
    <row r="341">
      <c r="A341" s="96">
        <v>46189.0</v>
      </c>
      <c r="B341" s="59" t="s">
        <v>1432</v>
      </c>
      <c r="C341" s="92" t="s">
        <v>1801</v>
      </c>
      <c r="D341" s="93">
        <v>31820.0</v>
      </c>
      <c r="E341" s="94" t="s">
        <v>722</v>
      </c>
      <c r="F341" s="94" t="s">
        <v>55</v>
      </c>
      <c r="G341" s="94" t="s">
        <v>1802</v>
      </c>
      <c r="H341" s="94" t="s">
        <v>1803</v>
      </c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</row>
    <row r="342">
      <c r="A342" s="96">
        <v>46189.0</v>
      </c>
      <c r="B342" s="59" t="s">
        <v>1432</v>
      </c>
      <c r="C342" s="92" t="s">
        <v>1804</v>
      </c>
      <c r="D342" s="93">
        <v>32773.0</v>
      </c>
      <c r="E342" s="94" t="s">
        <v>722</v>
      </c>
      <c r="F342" s="94" t="s">
        <v>55</v>
      </c>
      <c r="G342" s="94" t="s">
        <v>1805</v>
      </c>
      <c r="H342" s="94" t="s">
        <v>1806</v>
      </c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</row>
    <row r="343">
      <c r="A343" s="96">
        <v>46189.0</v>
      </c>
      <c r="B343" s="59" t="s">
        <v>1432</v>
      </c>
      <c r="C343" s="92" t="s">
        <v>1807</v>
      </c>
      <c r="D343" s="93">
        <v>30824.0</v>
      </c>
      <c r="E343" s="94" t="s">
        <v>722</v>
      </c>
      <c r="F343" s="94" t="s">
        <v>55</v>
      </c>
      <c r="G343" s="94" t="s">
        <v>1808</v>
      </c>
      <c r="H343" s="94" t="s">
        <v>1809</v>
      </c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</row>
    <row r="344">
      <c r="A344" s="96">
        <v>46189.0</v>
      </c>
      <c r="B344" s="59" t="s">
        <v>1432</v>
      </c>
      <c r="C344" s="92" t="s">
        <v>1810</v>
      </c>
      <c r="D344" s="93">
        <v>34880.0</v>
      </c>
      <c r="E344" s="94" t="s">
        <v>722</v>
      </c>
      <c r="F344" s="94" t="s">
        <v>55</v>
      </c>
      <c r="G344" s="94" t="s">
        <v>1811</v>
      </c>
      <c r="H344" s="94" t="s">
        <v>1812</v>
      </c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</row>
    <row r="345">
      <c r="A345" s="96">
        <v>46189.0</v>
      </c>
      <c r="B345" s="59" t="s">
        <v>1432</v>
      </c>
      <c r="C345" s="92" t="s">
        <v>1813</v>
      </c>
      <c r="D345" s="93">
        <v>29474.0</v>
      </c>
      <c r="E345" s="94" t="s">
        <v>722</v>
      </c>
      <c r="F345" s="94" t="s">
        <v>55</v>
      </c>
      <c r="G345" s="94" t="s">
        <v>1814</v>
      </c>
      <c r="H345" s="94" t="s">
        <v>1815</v>
      </c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</row>
    <row r="346">
      <c r="A346" s="96">
        <v>46189.0</v>
      </c>
      <c r="B346" s="59" t="s">
        <v>1432</v>
      </c>
      <c r="C346" s="92" t="s">
        <v>1816</v>
      </c>
      <c r="D346" s="97">
        <v>30996.0</v>
      </c>
      <c r="E346" s="94" t="s">
        <v>722</v>
      </c>
      <c r="F346" s="94" t="s">
        <v>55</v>
      </c>
      <c r="G346" s="94" t="s">
        <v>1817</v>
      </c>
      <c r="H346" s="94" t="s">
        <v>1818</v>
      </c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</row>
    <row r="347">
      <c r="A347" s="96">
        <v>46189.0</v>
      </c>
      <c r="B347" s="59" t="s">
        <v>1432</v>
      </c>
      <c r="C347" s="59" t="s">
        <v>1819</v>
      </c>
      <c r="D347" s="58">
        <v>36679.0</v>
      </c>
      <c r="E347" s="94" t="s">
        <v>722</v>
      </c>
      <c r="F347" s="94" t="s">
        <v>55</v>
      </c>
      <c r="G347" s="59" t="s">
        <v>1820</v>
      </c>
      <c r="H347" s="59" t="s">
        <v>1821</v>
      </c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</row>
    <row r="348">
      <c r="A348" s="64">
        <v>46190.0</v>
      </c>
      <c r="B348" s="59" t="s">
        <v>1432</v>
      </c>
      <c r="C348" s="59" t="s">
        <v>1822</v>
      </c>
      <c r="D348" s="58">
        <v>37649.0</v>
      </c>
      <c r="E348" s="94" t="s">
        <v>722</v>
      </c>
      <c r="F348" s="94" t="s">
        <v>55</v>
      </c>
      <c r="G348" s="59" t="s">
        <v>1823</v>
      </c>
      <c r="H348" s="59" t="s">
        <v>1824</v>
      </c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</row>
    <row r="349">
      <c r="A349" s="58">
        <v>46190.0</v>
      </c>
      <c r="B349" s="59" t="s">
        <v>1432</v>
      </c>
      <c r="C349" s="59" t="s">
        <v>1825</v>
      </c>
      <c r="D349" s="58">
        <v>26586.0</v>
      </c>
      <c r="E349" s="94" t="s">
        <v>722</v>
      </c>
      <c r="F349" s="94" t="s">
        <v>55</v>
      </c>
      <c r="G349" s="59" t="s">
        <v>1826</v>
      </c>
      <c r="H349" s="59" t="s">
        <v>1827</v>
      </c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</row>
    <row r="350">
      <c r="A350" s="58">
        <v>46190.0</v>
      </c>
      <c r="B350" s="59" t="s">
        <v>1432</v>
      </c>
      <c r="C350" s="59" t="s">
        <v>1828</v>
      </c>
      <c r="D350" s="58">
        <v>35082.0</v>
      </c>
      <c r="E350" s="94" t="s">
        <v>722</v>
      </c>
      <c r="F350" s="94" t="s">
        <v>55</v>
      </c>
      <c r="G350" s="59" t="s">
        <v>1829</v>
      </c>
      <c r="H350" s="59" t="s">
        <v>1830</v>
      </c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</row>
    <row r="351">
      <c r="A351" s="58">
        <v>46190.0</v>
      </c>
      <c r="B351" s="59" t="s">
        <v>1432</v>
      </c>
      <c r="C351" s="59" t="s">
        <v>1831</v>
      </c>
      <c r="D351" s="58">
        <v>21917.0</v>
      </c>
      <c r="E351" s="94" t="s">
        <v>722</v>
      </c>
      <c r="F351" s="94" t="s">
        <v>55</v>
      </c>
      <c r="G351" s="59" t="s">
        <v>1832</v>
      </c>
      <c r="H351" s="59" t="s">
        <v>1280</v>
      </c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</row>
    <row r="352">
      <c r="A352" s="58">
        <v>46190.0</v>
      </c>
      <c r="B352" s="59" t="s">
        <v>1432</v>
      </c>
      <c r="C352" s="59" t="s">
        <v>1833</v>
      </c>
      <c r="D352" s="58">
        <v>36924.0</v>
      </c>
      <c r="E352" s="94" t="s">
        <v>722</v>
      </c>
      <c r="F352" s="94" t="s">
        <v>55</v>
      </c>
      <c r="G352" s="59" t="s">
        <v>1834</v>
      </c>
      <c r="H352" s="59" t="s">
        <v>1835</v>
      </c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</row>
    <row r="353">
      <c r="A353" s="58">
        <v>46190.0</v>
      </c>
      <c r="B353" s="59" t="s">
        <v>1432</v>
      </c>
      <c r="C353" s="59" t="s">
        <v>1836</v>
      </c>
      <c r="D353" s="58">
        <v>35704.0</v>
      </c>
      <c r="E353" s="94" t="s">
        <v>722</v>
      </c>
      <c r="F353" s="94" t="s">
        <v>55</v>
      </c>
      <c r="G353" s="59" t="s">
        <v>1837</v>
      </c>
      <c r="H353" s="59" t="s">
        <v>1835</v>
      </c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</row>
    <row r="354">
      <c r="A354" s="58">
        <v>46190.0</v>
      </c>
      <c r="B354" s="59" t="s">
        <v>1432</v>
      </c>
      <c r="C354" s="59" t="s">
        <v>1838</v>
      </c>
      <c r="D354" s="58">
        <v>33808.0</v>
      </c>
      <c r="E354" s="94" t="s">
        <v>722</v>
      </c>
      <c r="F354" s="94" t="s">
        <v>55</v>
      </c>
      <c r="G354" s="59" t="s">
        <v>1839</v>
      </c>
      <c r="H354" s="59" t="s">
        <v>1840</v>
      </c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</row>
    <row r="355">
      <c r="A355" s="58">
        <v>46190.0</v>
      </c>
      <c r="B355" s="59" t="s">
        <v>1432</v>
      </c>
      <c r="C355" s="59" t="s">
        <v>1841</v>
      </c>
      <c r="D355" s="58">
        <v>28804.0</v>
      </c>
      <c r="E355" s="94" t="s">
        <v>722</v>
      </c>
      <c r="F355" s="94" t="s">
        <v>55</v>
      </c>
      <c r="G355" s="59" t="s">
        <v>1842</v>
      </c>
      <c r="H355" s="59" t="s">
        <v>1843</v>
      </c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</row>
    <row r="356">
      <c r="A356" s="58">
        <v>46190.0</v>
      </c>
      <c r="B356" s="59" t="s">
        <v>1432</v>
      </c>
      <c r="C356" s="59" t="s">
        <v>1844</v>
      </c>
      <c r="D356" s="58">
        <v>23581.0</v>
      </c>
      <c r="E356" s="94" t="s">
        <v>722</v>
      </c>
      <c r="F356" s="94" t="s">
        <v>55</v>
      </c>
      <c r="G356" s="59" t="s">
        <v>1845</v>
      </c>
      <c r="H356" s="59" t="s">
        <v>1846</v>
      </c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</row>
    <row r="357">
      <c r="A357" s="58">
        <v>46190.0</v>
      </c>
      <c r="B357" s="59" t="s">
        <v>1432</v>
      </c>
      <c r="C357" s="59" t="s">
        <v>1847</v>
      </c>
      <c r="D357" s="58">
        <v>33166.0</v>
      </c>
      <c r="E357" s="59" t="s">
        <v>54</v>
      </c>
      <c r="F357" s="59" t="s">
        <v>55</v>
      </c>
      <c r="G357" s="59" t="s">
        <v>1848</v>
      </c>
      <c r="H357" s="59" t="s">
        <v>1849</v>
      </c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</row>
    <row r="358">
      <c r="A358" s="64">
        <v>46191.0</v>
      </c>
      <c r="B358" s="59" t="s">
        <v>1432</v>
      </c>
      <c r="C358" s="59" t="s">
        <v>1850</v>
      </c>
      <c r="D358" s="58">
        <v>32410.0</v>
      </c>
      <c r="E358" s="59" t="s">
        <v>54</v>
      </c>
      <c r="F358" s="59" t="s">
        <v>55</v>
      </c>
      <c r="G358" s="59" t="s">
        <v>1851</v>
      </c>
      <c r="H358" s="59" t="s">
        <v>1852</v>
      </c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</row>
    <row r="359">
      <c r="A359" s="58">
        <v>46191.0</v>
      </c>
      <c r="B359" s="59" t="s">
        <v>1432</v>
      </c>
      <c r="C359" s="59" t="s">
        <v>1853</v>
      </c>
      <c r="D359" s="58">
        <v>24272.0</v>
      </c>
      <c r="E359" s="59" t="s">
        <v>54</v>
      </c>
      <c r="F359" s="59" t="s">
        <v>55</v>
      </c>
      <c r="G359" s="59" t="s">
        <v>1854</v>
      </c>
      <c r="H359" s="59" t="s">
        <v>1855</v>
      </c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</row>
    <row r="360">
      <c r="A360" s="58">
        <v>46191.0</v>
      </c>
      <c r="B360" s="59" t="s">
        <v>1432</v>
      </c>
      <c r="C360" s="59" t="s">
        <v>1856</v>
      </c>
      <c r="D360" s="58">
        <v>33106.0</v>
      </c>
      <c r="E360" s="59" t="s">
        <v>54</v>
      </c>
      <c r="F360" s="59" t="s">
        <v>55</v>
      </c>
      <c r="G360" s="59" t="s">
        <v>1857</v>
      </c>
      <c r="H360" s="59" t="s">
        <v>1858</v>
      </c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</row>
    <row r="361">
      <c r="A361" s="58">
        <v>46191.0</v>
      </c>
      <c r="B361" s="59" t="s">
        <v>1432</v>
      </c>
      <c r="C361" s="59" t="s">
        <v>1859</v>
      </c>
      <c r="D361" s="58">
        <v>24487.0</v>
      </c>
      <c r="E361" s="59" t="s">
        <v>54</v>
      </c>
      <c r="F361" s="59" t="s">
        <v>55</v>
      </c>
      <c r="G361" s="59" t="s">
        <v>1860</v>
      </c>
      <c r="H361" s="59" t="s">
        <v>1861</v>
      </c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</row>
    <row r="362">
      <c r="A362" s="58">
        <v>46191.0</v>
      </c>
      <c r="B362" s="59" t="s">
        <v>1432</v>
      </c>
      <c r="C362" s="59" t="s">
        <v>1862</v>
      </c>
      <c r="D362" s="58">
        <v>32961.0</v>
      </c>
      <c r="E362" s="59" t="s">
        <v>54</v>
      </c>
      <c r="F362" s="59" t="s">
        <v>55</v>
      </c>
      <c r="G362" s="59" t="s">
        <v>1863</v>
      </c>
      <c r="H362" s="59" t="s">
        <v>1864</v>
      </c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</row>
    <row r="363">
      <c r="A363" s="58">
        <v>46191.0</v>
      </c>
      <c r="B363" s="59" t="s">
        <v>1432</v>
      </c>
      <c r="C363" s="59" t="s">
        <v>1865</v>
      </c>
      <c r="D363" s="58">
        <v>26447.0</v>
      </c>
      <c r="E363" s="59" t="s">
        <v>54</v>
      </c>
      <c r="F363" s="59" t="s">
        <v>55</v>
      </c>
      <c r="G363" s="59">
        <v>5.61546397E9</v>
      </c>
      <c r="H363" s="59" t="s">
        <v>1866</v>
      </c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</row>
    <row r="364">
      <c r="A364" s="58">
        <v>46191.0</v>
      </c>
      <c r="B364" s="59" t="s">
        <v>1432</v>
      </c>
      <c r="C364" s="59" t="s">
        <v>1867</v>
      </c>
      <c r="D364" s="58">
        <v>34886.0</v>
      </c>
      <c r="E364" s="59" t="s">
        <v>54</v>
      </c>
      <c r="F364" s="59" t="s">
        <v>55</v>
      </c>
      <c r="G364" s="59" t="s">
        <v>1868</v>
      </c>
      <c r="H364" s="59" t="s">
        <v>1869</v>
      </c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</row>
    <row r="365">
      <c r="A365" s="58">
        <v>46191.0</v>
      </c>
      <c r="B365" s="59" t="s">
        <v>1432</v>
      </c>
      <c r="C365" s="59" t="s">
        <v>1870</v>
      </c>
      <c r="D365" s="58">
        <v>32143.0</v>
      </c>
      <c r="E365" s="59" t="s">
        <v>54</v>
      </c>
      <c r="F365" s="59" t="s">
        <v>55</v>
      </c>
      <c r="G365" s="59" t="s">
        <v>1871</v>
      </c>
      <c r="H365" s="59" t="s">
        <v>1872</v>
      </c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</row>
    <row r="366">
      <c r="A366" s="58">
        <v>46191.0</v>
      </c>
      <c r="B366" s="59" t="s">
        <v>1432</v>
      </c>
      <c r="C366" s="59" t="s">
        <v>1873</v>
      </c>
      <c r="D366" s="58">
        <v>23846.0</v>
      </c>
      <c r="E366" s="59" t="s">
        <v>54</v>
      </c>
      <c r="F366" s="59" t="s">
        <v>55</v>
      </c>
      <c r="G366" s="59" t="s">
        <v>1874</v>
      </c>
      <c r="H366" s="59" t="s">
        <v>1875</v>
      </c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</row>
    <row r="367">
      <c r="A367" s="58">
        <v>46191.0</v>
      </c>
      <c r="B367" s="59" t="s">
        <v>1432</v>
      </c>
      <c r="C367" s="59" t="s">
        <v>1876</v>
      </c>
      <c r="D367" s="58">
        <v>27107.0</v>
      </c>
      <c r="E367" s="59" t="s">
        <v>54</v>
      </c>
      <c r="F367" s="59" t="s">
        <v>55</v>
      </c>
      <c r="G367" s="59" t="s">
        <v>1877</v>
      </c>
      <c r="H367" s="59" t="s">
        <v>1878</v>
      </c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</row>
    <row r="368">
      <c r="A368" s="58">
        <v>46191.0</v>
      </c>
      <c r="B368" s="59" t="s">
        <v>1432</v>
      </c>
      <c r="C368" s="59" t="s">
        <v>1879</v>
      </c>
      <c r="D368" s="58">
        <v>28761.0</v>
      </c>
      <c r="E368" s="59" t="s">
        <v>769</v>
      </c>
      <c r="F368" s="59" t="s">
        <v>55</v>
      </c>
      <c r="G368" s="59" t="s">
        <v>1880</v>
      </c>
      <c r="H368" s="59" t="s">
        <v>1881</v>
      </c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</row>
    <row r="369">
      <c r="A369" s="58">
        <v>46191.0</v>
      </c>
      <c r="B369" s="59" t="s">
        <v>1432</v>
      </c>
      <c r="C369" s="59" t="s">
        <v>1882</v>
      </c>
      <c r="D369" s="58">
        <v>31830.0</v>
      </c>
      <c r="E369" s="59" t="s">
        <v>769</v>
      </c>
      <c r="F369" s="59" t="s">
        <v>55</v>
      </c>
      <c r="G369" s="59" t="s">
        <v>1883</v>
      </c>
      <c r="H369" s="59" t="s">
        <v>1884</v>
      </c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</row>
    <row r="370">
      <c r="A370" s="58">
        <v>46191.0</v>
      </c>
      <c r="B370" s="59" t="s">
        <v>1432</v>
      </c>
      <c r="C370" s="59" t="s">
        <v>1885</v>
      </c>
      <c r="D370" s="61">
        <v>32807.0</v>
      </c>
      <c r="E370" s="59" t="s">
        <v>769</v>
      </c>
      <c r="F370" s="59" t="s">
        <v>55</v>
      </c>
      <c r="G370" s="59" t="s">
        <v>1886</v>
      </c>
      <c r="H370" s="59" t="s">
        <v>1884</v>
      </c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</row>
    <row r="371">
      <c r="A371" s="58">
        <v>46191.0</v>
      </c>
      <c r="B371" s="59" t="s">
        <v>1432</v>
      </c>
      <c r="C371" s="59" t="s">
        <v>1887</v>
      </c>
      <c r="D371" s="58">
        <v>34118.0</v>
      </c>
      <c r="E371" s="59" t="s">
        <v>769</v>
      </c>
      <c r="F371" s="59" t="s">
        <v>55</v>
      </c>
      <c r="G371" s="59" t="s">
        <v>1888</v>
      </c>
      <c r="H371" s="59" t="s">
        <v>1889</v>
      </c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</row>
    <row r="372">
      <c r="A372" s="58">
        <v>46191.0</v>
      </c>
      <c r="B372" s="59" t="s">
        <v>1432</v>
      </c>
      <c r="C372" s="59" t="s">
        <v>1890</v>
      </c>
      <c r="D372" s="58">
        <v>24632.0</v>
      </c>
      <c r="E372" s="59" t="s">
        <v>769</v>
      </c>
      <c r="F372" s="59" t="s">
        <v>55</v>
      </c>
      <c r="G372" s="59" t="s">
        <v>1891</v>
      </c>
      <c r="H372" s="59" t="s">
        <v>1884</v>
      </c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</row>
    <row r="373">
      <c r="A373" s="58">
        <v>46191.0</v>
      </c>
      <c r="B373" s="59" t="s">
        <v>1432</v>
      </c>
      <c r="C373" s="59" t="s">
        <v>1892</v>
      </c>
      <c r="D373" s="58">
        <v>33629.0</v>
      </c>
      <c r="E373" s="59" t="s">
        <v>749</v>
      </c>
      <c r="F373" s="59" t="s">
        <v>55</v>
      </c>
      <c r="G373" s="59" t="s">
        <v>1893</v>
      </c>
      <c r="H373" s="59" t="s">
        <v>1894</v>
      </c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</row>
    <row r="374">
      <c r="A374" s="58">
        <v>46191.0</v>
      </c>
      <c r="B374" s="59" t="s">
        <v>1432</v>
      </c>
      <c r="C374" s="59" t="s">
        <v>1895</v>
      </c>
      <c r="D374" s="58">
        <v>30569.0</v>
      </c>
      <c r="E374" s="59" t="s">
        <v>749</v>
      </c>
      <c r="F374" s="59" t="s">
        <v>55</v>
      </c>
      <c r="G374" s="59" t="s">
        <v>1896</v>
      </c>
      <c r="H374" s="59" t="s">
        <v>1897</v>
      </c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</row>
    <row r="375">
      <c r="A375" s="58">
        <v>46191.0</v>
      </c>
      <c r="B375" s="59" t="s">
        <v>1432</v>
      </c>
      <c r="C375" s="59" t="s">
        <v>1898</v>
      </c>
      <c r="D375" s="58">
        <v>31974.0</v>
      </c>
      <c r="E375" s="59" t="s">
        <v>749</v>
      </c>
      <c r="F375" s="59" t="s">
        <v>55</v>
      </c>
      <c r="G375" s="59" t="s">
        <v>1899</v>
      </c>
      <c r="H375" s="59" t="s">
        <v>1900</v>
      </c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</row>
    <row r="376">
      <c r="A376" s="58">
        <v>46191.0</v>
      </c>
      <c r="B376" s="59" t="s">
        <v>1432</v>
      </c>
      <c r="C376" s="59" t="s">
        <v>1901</v>
      </c>
      <c r="D376" s="61">
        <v>31733.0</v>
      </c>
      <c r="E376" s="59" t="s">
        <v>749</v>
      </c>
      <c r="F376" s="59" t="s">
        <v>55</v>
      </c>
      <c r="G376" s="59" t="s">
        <v>1902</v>
      </c>
      <c r="H376" s="59" t="s">
        <v>1903</v>
      </c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</row>
    <row r="377">
      <c r="A377" s="58">
        <v>46191.0</v>
      </c>
      <c r="B377" s="59" t="s">
        <v>1432</v>
      </c>
      <c r="C377" s="59" t="s">
        <v>1904</v>
      </c>
      <c r="D377" s="58">
        <v>33122.0</v>
      </c>
      <c r="E377" s="59" t="s">
        <v>749</v>
      </c>
      <c r="F377" s="59" t="s">
        <v>55</v>
      </c>
      <c r="G377" s="59" t="s">
        <v>1905</v>
      </c>
      <c r="H377" s="59" t="s">
        <v>1903</v>
      </c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</row>
    <row r="378">
      <c r="A378" s="58">
        <v>46191.0</v>
      </c>
      <c r="B378" s="59" t="s">
        <v>1432</v>
      </c>
      <c r="C378" s="59" t="s">
        <v>1906</v>
      </c>
      <c r="D378" s="58">
        <v>23219.0</v>
      </c>
      <c r="E378" s="59" t="s">
        <v>749</v>
      </c>
      <c r="F378" s="59" t="s">
        <v>1470</v>
      </c>
      <c r="G378" s="59" t="s">
        <v>1907</v>
      </c>
      <c r="H378" s="59" t="s">
        <v>1908</v>
      </c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</row>
    <row r="379">
      <c r="A379" s="98">
        <v>46192.0</v>
      </c>
      <c r="B379" s="59" t="s">
        <v>1432</v>
      </c>
      <c r="C379" s="59" t="s">
        <v>1909</v>
      </c>
      <c r="D379" s="58">
        <v>28625.0</v>
      </c>
      <c r="E379" s="59" t="s">
        <v>749</v>
      </c>
      <c r="F379" s="59" t="s">
        <v>55</v>
      </c>
      <c r="G379" s="59" t="s">
        <v>1910</v>
      </c>
      <c r="H379" s="59" t="s">
        <v>1911</v>
      </c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</row>
    <row r="380">
      <c r="A380" s="98">
        <v>46192.0</v>
      </c>
      <c r="B380" s="59" t="s">
        <v>1432</v>
      </c>
      <c r="C380" s="59" t="s">
        <v>1912</v>
      </c>
      <c r="D380" s="58">
        <v>27130.0</v>
      </c>
      <c r="E380" s="59" t="s">
        <v>769</v>
      </c>
      <c r="F380" s="59" t="s">
        <v>55</v>
      </c>
      <c r="G380" s="59" t="s">
        <v>1913</v>
      </c>
      <c r="H380" s="59" t="s">
        <v>1914</v>
      </c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</row>
    <row r="381">
      <c r="A381" s="98">
        <v>46192.0</v>
      </c>
      <c r="B381" s="59" t="s">
        <v>1432</v>
      </c>
      <c r="C381" s="59" t="s">
        <v>1915</v>
      </c>
      <c r="D381" s="61">
        <v>23734.0</v>
      </c>
      <c r="E381" s="59" t="s">
        <v>769</v>
      </c>
      <c r="F381" s="59" t="s">
        <v>55</v>
      </c>
      <c r="G381" s="59" t="s">
        <v>1916</v>
      </c>
      <c r="H381" s="59" t="s">
        <v>1917</v>
      </c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</row>
    <row r="382">
      <c r="A382" s="98">
        <v>46192.0</v>
      </c>
      <c r="B382" s="59" t="s">
        <v>1432</v>
      </c>
      <c r="C382" s="59" t="s">
        <v>1918</v>
      </c>
      <c r="D382" s="58">
        <v>36913.0</v>
      </c>
      <c r="E382" s="59" t="s">
        <v>769</v>
      </c>
      <c r="F382" s="59" t="s">
        <v>55</v>
      </c>
      <c r="G382" s="59" t="s">
        <v>1919</v>
      </c>
      <c r="H382" s="59" t="s">
        <v>1917</v>
      </c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</row>
    <row r="383">
      <c r="A383" s="98">
        <v>46192.0</v>
      </c>
      <c r="B383" s="59" t="s">
        <v>1432</v>
      </c>
      <c r="C383" s="59" t="s">
        <v>1920</v>
      </c>
      <c r="D383" s="61">
        <v>25565.0</v>
      </c>
      <c r="E383" s="59" t="s">
        <v>769</v>
      </c>
      <c r="F383" s="59" t="s">
        <v>55</v>
      </c>
      <c r="G383" s="59" t="s">
        <v>1921</v>
      </c>
      <c r="H383" s="59" t="s">
        <v>1922</v>
      </c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</row>
    <row r="384">
      <c r="A384" s="98">
        <v>46192.0</v>
      </c>
      <c r="B384" s="59" t="s">
        <v>1432</v>
      </c>
      <c r="C384" s="59" t="s">
        <v>1923</v>
      </c>
      <c r="D384" s="58">
        <v>22198.0</v>
      </c>
      <c r="E384" s="59" t="s">
        <v>769</v>
      </c>
      <c r="F384" s="59" t="s">
        <v>55</v>
      </c>
      <c r="G384" s="59" t="s">
        <v>1924</v>
      </c>
      <c r="H384" s="59" t="s">
        <v>1925</v>
      </c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</row>
    <row r="385">
      <c r="A385" s="98">
        <v>46192.0</v>
      </c>
      <c r="B385" s="59" t="s">
        <v>1432</v>
      </c>
      <c r="C385" s="59" t="s">
        <v>1926</v>
      </c>
      <c r="D385" s="58">
        <v>30756.0</v>
      </c>
      <c r="E385" s="59" t="s">
        <v>769</v>
      </c>
      <c r="F385" s="59" t="s">
        <v>55</v>
      </c>
      <c r="G385" s="59" t="s">
        <v>1927</v>
      </c>
      <c r="H385" s="59" t="s">
        <v>1928</v>
      </c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</row>
    <row r="386">
      <c r="A386" s="98">
        <v>46192.0</v>
      </c>
      <c r="B386" s="59" t="s">
        <v>1432</v>
      </c>
      <c r="C386" s="59" t="s">
        <v>1929</v>
      </c>
      <c r="D386" s="61">
        <v>26288.0</v>
      </c>
      <c r="E386" s="59" t="s">
        <v>769</v>
      </c>
      <c r="F386" s="59" t="s">
        <v>55</v>
      </c>
      <c r="G386" s="59" t="s">
        <v>1930</v>
      </c>
      <c r="H386" s="59" t="s">
        <v>1931</v>
      </c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</row>
    <row r="387">
      <c r="A387" s="98">
        <v>46192.0</v>
      </c>
      <c r="B387" s="59" t="s">
        <v>1432</v>
      </c>
      <c r="C387" s="62"/>
      <c r="D387" s="62"/>
      <c r="E387" s="62"/>
      <c r="F387" s="62"/>
      <c r="G387" s="62"/>
      <c r="H387" s="62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</row>
    <row r="388">
      <c r="A388" s="98">
        <v>46192.0</v>
      </c>
      <c r="B388" s="59" t="s">
        <v>1432</v>
      </c>
      <c r="C388" s="62"/>
      <c r="D388" s="62"/>
      <c r="E388" s="62"/>
      <c r="F388" s="62"/>
      <c r="G388" s="62"/>
      <c r="H388" s="62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</row>
    <row r="389">
      <c r="A389" s="98">
        <v>46192.0</v>
      </c>
      <c r="B389" s="59" t="s">
        <v>1432</v>
      </c>
      <c r="C389" s="62"/>
      <c r="D389" s="62"/>
      <c r="E389" s="62"/>
      <c r="F389" s="62"/>
      <c r="G389" s="62"/>
      <c r="H389" s="62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</row>
    <row r="390">
      <c r="A390" s="63"/>
      <c r="B390" s="63"/>
      <c r="C390" s="62"/>
      <c r="D390" s="62"/>
      <c r="E390" s="62"/>
      <c r="F390" s="62"/>
      <c r="G390" s="62"/>
      <c r="H390" s="62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</row>
    <row r="391">
      <c r="A391" s="63"/>
      <c r="B391" s="63"/>
      <c r="C391" s="62"/>
      <c r="D391" s="62"/>
      <c r="E391" s="62"/>
      <c r="F391" s="62"/>
      <c r="G391" s="62"/>
      <c r="H391" s="62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</row>
    <row r="392">
      <c r="A392" s="63"/>
      <c r="B392" s="63"/>
      <c r="C392" s="62"/>
      <c r="D392" s="62"/>
      <c r="E392" s="62"/>
      <c r="F392" s="62"/>
      <c r="G392" s="62"/>
      <c r="H392" s="62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</row>
    <row r="393">
      <c r="A393" s="63"/>
      <c r="B393" s="63"/>
      <c r="C393" s="62"/>
      <c r="D393" s="62"/>
      <c r="E393" s="62"/>
      <c r="F393" s="62"/>
      <c r="G393" s="62"/>
      <c r="H393" s="62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</row>
    <row r="394">
      <c r="A394" s="63"/>
      <c r="B394" s="63"/>
      <c r="C394" s="62"/>
      <c r="D394" s="62"/>
      <c r="E394" s="62"/>
      <c r="F394" s="62"/>
      <c r="G394" s="62"/>
      <c r="H394" s="62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</row>
    <row r="395">
      <c r="A395" s="63"/>
      <c r="B395" s="63"/>
      <c r="C395" s="62"/>
      <c r="D395" s="62"/>
      <c r="E395" s="62"/>
      <c r="F395" s="62"/>
      <c r="G395" s="62"/>
      <c r="H395" s="62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</row>
    <row r="396">
      <c r="A396" s="63"/>
      <c r="B396" s="63"/>
      <c r="C396" s="62"/>
      <c r="D396" s="62"/>
      <c r="E396" s="62"/>
      <c r="F396" s="62"/>
      <c r="G396" s="62"/>
      <c r="H396" s="62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</row>
    <row r="397">
      <c r="A397" s="63"/>
      <c r="B397" s="63"/>
      <c r="C397" s="62"/>
      <c r="D397" s="62"/>
      <c r="E397" s="62"/>
      <c r="F397" s="62"/>
      <c r="G397" s="62"/>
      <c r="H397" s="62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</row>
    <row r="398">
      <c r="A398" s="63"/>
      <c r="B398" s="63"/>
      <c r="C398" s="62"/>
      <c r="D398" s="62"/>
      <c r="E398" s="62"/>
      <c r="F398" s="62"/>
      <c r="G398" s="62"/>
      <c r="H398" s="62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</row>
    <row r="399">
      <c r="A399" s="63"/>
      <c r="B399" s="63"/>
      <c r="C399" s="62"/>
      <c r="D399" s="62"/>
      <c r="E399" s="62"/>
      <c r="F399" s="62"/>
      <c r="G399" s="62"/>
      <c r="H399" s="62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</row>
    <row r="400">
      <c r="A400" s="63"/>
      <c r="B400" s="63"/>
      <c r="C400" s="62"/>
      <c r="D400" s="62"/>
      <c r="E400" s="62"/>
      <c r="F400" s="62"/>
      <c r="G400" s="62"/>
      <c r="H400" s="62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</row>
    <row r="401">
      <c r="A401" s="63"/>
      <c r="B401" s="63"/>
      <c r="C401" s="62"/>
      <c r="D401" s="62"/>
      <c r="E401" s="62"/>
      <c r="F401" s="62"/>
      <c r="G401" s="62"/>
      <c r="H401" s="62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</row>
    <row r="402">
      <c r="A402" s="63"/>
      <c r="B402" s="63"/>
      <c r="C402" s="62"/>
      <c r="D402" s="62"/>
      <c r="E402" s="62"/>
      <c r="F402" s="62"/>
      <c r="G402" s="62"/>
      <c r="H402" s="62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</row>
    <row r="403">
      <c r="A403" s="63"/>
      <c r="B403" s="63"/>
      <c r="C403" s="62"/>
      <c r="D403" s="62"/>
      <c r="E403" s="62"/>
      <c r="F403" s="62"/>
      <c r="G403" s="62"/>
      <c r="H403" s="62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</row>
    <row r="404">
      <c r="A404" s="63"/>
      <c r="B404" s="63"/>
      <c r="C404" s="62"/>
      <c r="D404" s="62"/>
      <c r="E404" s="62"/>
      <c r="F404" s="62"/>
      <c r="G404" s="62"/>
      <c r="H404" s="62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</row>
    <row r="405">
      <c r="A405" s="63"/>
      <c r="B405" s="63"/>
      <c r="C405" s="62"/>
      <c r="D405" s="62"/>
      <c r="E405" s="62"/>
      <c r="F405" s="62"/>
      <c r="G405" s="62"/>
      <c r="H405" s="62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</row>
    <row r="406">
      <c r="A406" s="63"/>
      <c r="B406" s="63"/>
      <c r="C406" s="62"/>
      <c r="D406" s="62"/>
      <c r="E406" s="62"/>
      <c r="F406" s="62"/>
      <c r="G406" s="62"/>
      <c r="H406" s="62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</row>
    <row r="407">
      <c r="A407" s="63"/>
      <c r="B407" s="63"/>
      <c r="C407" s="62"/>
      <c r="D407" s="62"/>
      <c r="E407" s="62"/>
      <c r="F407" s="62"/>
      <c r="G407" s="62"/>
      <c r="H407" s="62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</row>
    <row r="408">
      <c r="A408" s="63"/>
      <c r="B408" s="63"/>
      <c r="C408" s="62"/>
      <c r="D408" s="62"/>
      <c r="E408" s="62"/>
      <c r="F408" s="62"/>
      <c r="G408" s="62"/>
      <c r="H408" s="62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</row>
    <row r="409">
      <c r="A409" s="63"/>
      <c r="B409" s="63"/>
      <c r="C409" s="62"/>
      <c r="D409" s="62"/>
      <c r="E409" s="62"/>
      <c r="F409" s="62"/>
      <c r="G409" s="62"/>
      <c r="H409" s="62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</row>
    <row r="410">
      <c r="A410" s="63"/>
      <c r="B410" s="63"/>
      <c r="C410" s="62"/>
      <c r="D410" s="62"/>
      <c r="E410" s="62"/>
      <c r="F410" s="62"/>
      <c r="G410" s="62"/>
      <c r="H410" s="62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</row>
    <row r="411">
      <c r="A411" s="63"/>
      <c r="B411" s="63"/>
      <c r="C411" s="62"/>
      <c r="D411" s="62"/>
      <c r="E411" s="62"/>
      <c r="F411" s="62"/>
      <c r="G411" s="62"/>
      <c r="H411" s="62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</row>
    <row r="412">
      <c r="A412" s="63"/>
      <c r="B412" s="63"/>
      <c r="C412" s="62"/>
      <c r="D412" s="62"/>
      <c r="E412" s="62"/>
      <c r="F412" s="62"/>
      <c r="G412" s="62"/>
      <c r="H412" s="62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</row>
    <row r="413">
      <c r="A413" s="63"/>
      <c r="B413" s="63"/>
      <c r="C413" s="62"/>
      <c r="D413" s="62"/>
      <c r="E413" s="62"/>
      <c r="F413" s="62"/>
      <c r="G413" s="62"/>
      <c r="H413" s="62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</row>
    <row r="414">
      <c r="A414" s="63"/>
      <c r="B414" s="63"/>
      <c r="C414" s="62"/>
      <c r="D414" s="62"/>
      <c r="E414" s="62"/>
      <c r="F414" s="62"/>
      <c r="G414" s="62"/>
      <c r="H414" s="62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</row>
    <row r="415">
      <c r="A415" s="63"/>
      <c r="B415" s="63"/>
      <c r="C415" s="62"/>
      <c r="D415" s="62"/>
      <c r="E415" s="62"/>
      <c r="F415" s="62"/>
      <c r="G415" s="62"/>
      <c r="H415" s="62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</row>
    <row r="416">
      <c r="A416" s="63"/>
      <c r="B416" s="63"/>
      <c r="C416" s="62"/>
      <c r="D416" s="62"/>
      <c r="E416" s="62"/>
      <c r="F416" s="62"/>
      <c r="G416" s="62"/>
      <c r="H416" s="62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</row>
    <row r="417">
      <c r="A417" s="63"/>
      <c r="B417" s="63"/>
      <c r="C417" s="62"/>
      <c r="D417" s="62"/>
      <c r="E417" s="62"/>
      <c r="F417" s="62"/>
      <c r="G417" s="62"/>
      <c r="H417" s="62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</row>
    <row r="418">
      <c r="A418" s="63"/>
      <c r="B418" s="63"/>
      <c r="C418" s="62"/>
      <c r="D418" s="62"/>
      <c r="E418" s="62"/>
      <c r="F418" s="62"/>
      <c r="G418" s="62"/>
      <c r="H418" s="62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</row>
    <row r="419">
      <c r="A419" s="63"/>
      <c r="B419" s="63"/>
      <c r="C419" s="62"/>
      <c r="D419" s="62"/>
      <c r="E419" s="62"/>
      <c r="F419" s="62"/>
      <c r="G419" s="62"/>
      <c r="H419" s="62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</row>
    <row r="420">
      <c r="A420" s="63"/>
      <c r="B420" s="63"/>
      <c r="C420" s="62"/>
      <c r="D420" s="62"/>
      <c r="E420" s="62"/>
      <c r="F420" s="62"/>
      <c r="G420" s="62"/>
      <c r="H420" s="62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</row>
    <row r="421">
      <c r="A421" s="63"/>
      <c r="B421" s="63"/>
      <c r="C421" s="62"/>
      <c r="D421" s="62"/>
      <c r="E421" s="62"/>
      <c r="F421" s="62"/>
      <c r="G421" s="62"/>
      <c r="H421" s="62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</row>
    <row r="422">
      <c r="A422" s="63"/>
      <c r="B422" s="63"/>
      <c r="C422" s="62"/>
      <c r="D422" s="62"/>
      <c r="E422" s="62"/>
      <c r="F422" s="62"/>
      <c r="G422" s="62"/>
      <c r="H422" s="62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</row>
    <row r="423">
      <c r="A423" s="63"/>
      <c r="B423" s="63"/>
      <c r="C423" s="62"/>
      <c r="D423" s="62"/>
      <c r="E423" s="62"/>
      <c r="F423" s="62"/>
      <c r="G423" s="62"/>
      <c r="H423" s="62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</row>
    <row r="424">
      <c r="A424" s="63"/>
      <c r="B424" s="63"/>
      <c r="C424" s="62"/>
      <c r="D424" s="62"/>
      <c r="E424" s="62"/>
      <c r="F424" s="62"/>
      <c r="G424" s="62"/>
      <c r="H424" s="62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</row>
    <row r="425">
      <c r="A425" s="63"/>
      <c r="B425" s="63"/>
      <c r="C425" s="62"/>
      <c r="D425" s="62"/>
      <c r="E425" s="62"/>
      <c r="F425" s="62"/>
      <c r="G425" s="62"/>
      <c r="H425" s="62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</row>
    <row r="426">
      <c r="A426" s="63"/>
      <c r="B426" s="63"/>
      <c r="C426" s="62"/>
      <c r="D426" s="62"/>
      <c r="E426" s="62"/>
      <c r="F426" s="62"/>
      <c r="G426" s="62"/>
      <c r="H426" s="62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</row>
    <row r="427">
      <c r="A427" s="63"/>
      <c r="B427" s="63"/>
      <c r="C427" s="62"/>
      <c r="D427" s="62"/>
      <c r="E427" s="62"/>
      <c r="F427" s="62"/>
      <c r="G427" s="62"/>
      <c r="H427" s="62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</row>
    <row r="428">
      <c r="A428" s="63"/>
      <c r="B428" s="63"/>
      <c r="C428" s="62"/>
      <c r="D428" s="62"/>
      <c r="E428" s="62"/>
      <c r="F428" s="62"/>
      <c r="G428" s="62"/>
      <c r="H428" s="62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</row>
    <row r="429">
      <c r="A429" s="63"/>
      <c r="B429" s="63"/>
      <c r="C429" s="62"/>
      <c r="D429" s="62"/>
      <c r="E429" s="62"/>
      <c r="F429" s="62"/>
      <c r="G429" s="62"/>
      <c r="H429" s="62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</row>
    <row r="430">
      <c r="A430" s="63"/>
      <c r="B430" s="63"/>
      <c r="C430" s="62"/>
      <c r="D430" s="62"/>
      <c r="E430" s="62"/>
      <c r="F430" s="62"/>
      <c r="G430" s="62"/>
      <c r="H430" s="62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</row>
    <row r="431">
      <c r="A431" s="63"/>
      <c r="B431" s="63"/>
      <c r="C431" s="62"/>
      <c r="D431" s="62"/>
      <c r="E431" s="62"/>
      <c r="F431" s="62"/>
      <c r="G431" s="62"/>
      <c r="H431" s="62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</row>
    <row r="432">
      <c r="A432" s="63"/>
      <c r="B432" s="63"/>
      <c r="C432" s="62"/>
      <c r="D432" s="62"/>
      <c r="E432" s="62"/>
      <c r="F432" s="62"/>
      <c r="G432" s="62"/>
      <c r="H432" s="62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</row>
    <row r="433">
      <c r="A433" s="63"/>
      <c r="B433" s="63"/>
      <c r="C433" s="62"/>
      <c r="D433" s="62"/>
      <c r="E433" s="62"/>
      <c r="F433" s="62"/>
      <c r="G433" s="62"/>
      <c r="H433" s="62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</row>
    <row r="434">
      <c r="A434" s="63"/>
      <c r="B434" s="63"/>
      <c r="C434" s="62"/>
      <c r="D434" s="62"/>
      <c r="E434" s="62"/>
      <c r="F434" s="62"/>
      <c r="G434" s="62"/>
      <c r="H434" s="62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</row>
    <row r="435">
      <c r="A435" s="63"/>
      <c r="B435" s="63"/>
      <c r="C435" s="62"/>
      <c r="D435" s="62"/>
      <c r="E435" s="62"/>
      <c r="F435" s="62"/>
      <c r="G435" s="62"/>
      <c r="H435" s="62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</row>
    <row r="436">
      <c r="A436" s="63"/>
      <c r="B436" s="63"/>
      <c r="C436" s="62"/>
      <c r="D436" s="62"/>
      <c r="E436" s="62"/>
      <c r="F436" s="62"/>
      <c r="G436" s="62"/>
      <c r="H436" s="62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</row>
    <row r="437">
      <c r="A437" s="63"/>
      <c r="B437" s="63"/>
      <c r="C437" s="62"/>
      <c r="D437" s="62"/>
      <c r="E437" s="62"/>
      <c r="F437" s="62"/>
      <c r="G437" s="62"/>
      <c r="H437" s="62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</row>
    <row r="438">
      <c r="A438" s="63"/>
      <c r="B438" s="63"/>
      <c r="C438" s="62"/>
      <c r="D438" s="62"/>
      <c r="E438" s="62"/>
      <c r="F438" s="62"/>
      <c r="G438" s="62"/>
      <c r="H438" s="62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</row>
    <row r="439">
      <c r="A439" s="63"/>
      <c r="B439" s="63"/>
      <c r="C439" s="62"/>
      <c r="D439" s="62"/>
      <c r="E439" s="62"/>
      <c r="F439" s="62"/>
      <c r="G439" s="62"/>
      <c r="H439" s="62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</row>
    <row r="440">
      <c r="A440" s="63"/>
      <c r="B440" s="63"/>
      <c r="C440" s="62"/>
      <c r="D440" s="62"/>
      <c r="E440" s="62"/>
      <c r="F440" s="62"/>
      <c r="G440" s="62"/>
      <c r="H440" s="62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</row>
    <row r="441">
      <c r="A441" s="63"/>
      <c r="B441" s="63"/>
      <c r="C441" s="62"/>
      <c r="D441" s="62"/>
      <c r="E441" s="62"/>
      <c r="F441" s="62"/>
      <c r="G441" s="62"/>
      <c r="H441" s="62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</row>
    <row r="442">
      <c r="A442" s="63"/>
      <c r="B442" s="63"/>
      <c r="C442" s="62"/>
      <c r="D442" s="62"/>
      <c r="E442" s="62"/>
      <c r="F442" s="62"/>
      <c r="G442" s="62"/>
      <c r="H442" s="62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</row>
    <row r="443">
      <c r="A443" s="63"/>
      <c r="B443" s="63"/>
      <c r="C443" s="62"/>
      <c r="D443" s="62"/>
      <c r="E443" s="62"/>
      <c r="F443" s="62"/>
      <c r="G443" s="62"/>
      <c r="H443" s="62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</row>
    <row r="444">
      <c r="A444" s="63"/>
      <c r="B444" s="63"/>
      <c r="C444" s="62"/>
      <c r="D444" s="62"/>
      <c r="E444" s="62"/>
      <c r="F444" s="62"/>
      <c r="G444" s="62"/>
      <c r="H444" s="62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</row>
    <row r="445">
      <c r="A445" s="63"/>
      <c r="B445" s="63"/>
      <c r="C445" s="62"/>
      <c r="D445" s="62"/>
      <c r="E445" s="62"/>
      <c r="F445" s="62"/>
      <c r="G445" s="62"/>
      <c r="H445" s="62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</row>
    <row r="446">
      <c r="A446" s="63"/>
      <c r="B446" s="63"/>
      <c r="C446" s="62"/>
      <c r="D446" s="62"/>
      <c r="E446" s="62"/>
      <c r="F446" s="62"/>
      <c r="G446" s="62"/>
      <c r="H446" s="62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</row>
    <row r="447">
      <c r="A447" s="63"/>
      <c r="B447" s="63"/>
      <c r="C447" s="62"/>
      <c r="D447" s="62"/>
      <c r="E447" s="62"/>
      <c r="F447" s="62"/>
      <c r="G447" s="62"/>
      <c r="H447" s="62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</row>
    <row r="448">
      <c r="A448" s="63"/>
      <c r="B448" s="63"/>
      <c r="C448" s="62"/>
      <c r="D448" s="62"/>
      <c r="E448" s="62"/>
      <c r="F448" s="62"/>
      <c r="G448" s="62"/>
      <c r="H448" s="62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</row>
    <row r="449">
      <c r="A449" s="63"/>
      <c r="B449" s="63"/>
      <c r="C449" s="62"/>
      <c r="D449" s="62"/>
      <c r="E449" s="62"/>
      <c r="F449" s="62"/>
      <c r="G449" s="62"/>
      <c r="H449" s="62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</row>
    <row r="450">
      <c r="A450" s="63"/>
      <c r="B450" s="63"/>
      <c r="C450" s="62"/>
      <c r="D450" s="62"/>
      <c r="E450" s="62"/>
      <c r="F450" s="62"/>
      <c r="G450" s="62"/>
      <c r="H450" s="62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</row>
    <row r="451">
      <c r="A451" s="63"/>
      <c r="B451" s="63"/>
      <c r="C451" s="62"/>
      <c r="D451" s="62"/>
      <c r="E451" s="62"/>
      <c r="F451" s="62"/>
      <c r="G451" s="62"/>
      <c r="H451" s="62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</row>
    <row r="452">
      <c r="A452" s="63"/>
      <c r="B452" s="63"/>
      <c r="C452" s="62"/>
      <c r="D452" s="62"/>
      <c r="E452" s="62"/>
      <c r="F452" s="62"/>
      <c r="G452" s="62"/>
      <c r="H452" s="62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</row>
    <row r="453">
      <c r="A453" s="63"/>
      <c r="B453" s="63"/>
      <c r="C453" s="62"/>
      <c r="D453" s="62"/>
      <c r="E453" s="62"/>
      <c r="F453" s="62"/>
      <c r="G453" s="62"/>
      <c r="H453" s="62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</row>
    <row r="454">
      <c r="A454" s="63"/>
      <c r="B454" s="63"/>
      <c r="C454" s="62"/>
      <c r="D454" s="62"/>
      <c r="E454" s="62"/>
      <c r="F454" s="62"/>
      <c r="G454" s="62"/>
      <c r="H454" s="62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</row>
    <row r="455">
      <c r="A455" s="63"/>
      <c r="B455" s="63"/>
      <c r="C455" s="62"/>
      <c r="D455" s="62"/>
      <c r="E455" s="62"/>
      <c r="F455" s="62"/>
      <c r="G455" s="62"/>
      <c r="H455" s="62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</row>
    <row r="456">
      <c r="A456" s="63"/>
      <c r="B456" s="63"/>
      <c r="C456" s="62"/>
      <c r="D456" s="62"/>
      <c r="E456" s="62"/>
      <c r="F456" s="62"/>
      <c r="G456" s="62"/>
      <c r="H456" s="62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</row>
    <row r="457">
      <c r="A457" s="63"/>
      <c r="B457" s="63"/>
      <c r="C457" s="62"/>
      <c r="D457" s="62"/>
      <c r="E457" s="62"/>
      <c r="F457" s="62"/>
      <c r="G457" s="62"/>
      <c r="H457" s="62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</row>
    <row r="458">
      <c r="A458" s="63"/>
      <c r="B458" s="63"/>
      <c r="C458" s="62"/>
      <c r="D458" s="62"/>
      <c r="E458" s="62"/>
      <c r="F458" s="62"/>
      <c r="G458" s="62"/>
      <c r="H458" s="62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</row>
    <row r="459">
      <c r="A459" s="63"/>
      <c r="B459" s="63"/>
      <c r="C459" s="62"/>
      <c r="D459" s="62"/>
      <c r="E459" s="62"/>
      <c r="F459" s="62"/>
      <c r="G459" s="62"/>
      <c r="H459" s="62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</row>
    <row r="460">
      <c r="A460" s="63"/>
      <c r="B460" s="63"/>
      <c r="C460" s="62"/>
      <c r="D460" s="62"/>
      <c r="E460" s="62"/>
      <c r="F460" s="62"/>
      <c r="G460" s="62"/>
      <c r="H460" s="62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</row>
    <row r="461">
      <c r="A461" s="63"/>
      <c r="B461" s="63"/>
      <c r="C461" s="62"/>
      <c r="D461" s="62"/>
      <c r="E461" s="62"/>
      <c r="F461" s="62"/>
      <c r="G461" s="62"/>
      <c r="H461" s="62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</row>
    <row r="462">
      <c r="A462" s="63"/>
      <c r="B462" s="63"/>
      <c r="C462" s="62"/>
      <c r="D462" s="62"/>
      <c r="E462" s="62"/>
      <c r="F462" s="62"/>
      <c r="G462" s="62"/>
      <c r="H462" s="62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</row>
    <row r="463">
      <c r="A463" s="63"/>
      <c r="B463" s="63"/>
      <c r="C463" s="62"/>
      <c r="D463" s="62"/>
      <c r="E463" s="62"/>
      <c r="F463" s="62"/>
      <c r="G463" s="62"/>
      <c r="H463" s="62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</row>
    <row r="464">
      <c r="A464" s="63"/>
      <c r="B464" s="63"/>
      <c r="C464" s="62"/>
      <c r="D464" s="62"/>
      <c r="E464" s="62"/>
      <c r="F464" s="62"/>
      <c r="G464" s="62"/>
      <c r="H464" s="62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</row>
    <row r="465">
      <c r="A465" s="63"/>
      <c r="B465" s="63"/>
      <c r="C465" s="62"/>
      <c r="D465" s="62"/>
      <c r="E465" s="62"/>
      <c r="F465" s="62"/>
      <c r="G465" s="62"/>
      <c r="H465" s="62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</row>
    <row r="466">
      <c r="A466" s="63"/>
      <c r="B466" s="63"/>
      <c r="C466" s="62"/>
      <c r="D466" s="62"/>
      <c r="E466" s="62"/>
      <c r="F466" s="62"/>
      <c r="G466" s="62"/>
      <c r="H466" s="62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</row>
    <row r="467">
      <c r="A467" s="63"/>
      <c r="B467" s="63"/>
      <c r="C467" s="62"/>
      <c r="D467" s="62"/>
      <c r="E467" s="62"/>
      <c r="F467" s="62"/>
      <c r="G467" s="62"/>
      <c r="H467" s="62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</row>
    <row r="468">
      <c r="A468" s="63"/>
      <c r="B468" s="63"/>
      <c r="C468" s="62"/>
      <c r="D468" s="62"/>
      <c r="E468" s="62"/>
      <c r="F468" s="62"/>
      <c r="G468" s="62"/>
      <c r="H468" s="62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</row>
    <row r="469">
      <c r="A469" s="63"/>
      <c r="B469" s="63"/>
      <c r="C469" s="62"/>
      <c r="D469" s="62"/>
      <c r="E469" s="62"/>
      <c r="F469" s="62"/>
      <c r="G469" s="62"/>
      <c r="H469" s="62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</row>
    <row r="470">
      <c r="A470" s="63"/>
      <c r="B470" s="63"/>
      <c r="C470" s="62"/>
      <c r="D470" s="62"/>
      <c r="E470" s="62"/>
      <c r="F470" s="62"/>
      <c r="G470" s="62"/>
      <c r="H470" s="62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</row>
    <row r="471">
      <c r="A471" s="63"/>
      <c r="B471" s="63"/>
      <c r="C471" s="62"/>
      <c r="D471" s="62"/>
      <c r="E471" s="62"/>
      <c r="F471" s="62"/>
      <c r="G471" s="62"/>
      <c r="H471" s="62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</row>
    <row r="472">
      <c r="A472" s="63"/>
      <c r="B472" s="63"/>
      <c r="C472" s="62"/>
      <c r="D472" s="62"/>
      <c r="E472" s="62"/>
      <c r="F472" s="62"/>
      <c r="G472" s="62"/>
      <c r="H472" s="62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</row>
    <row r="473">
      <c r="A473" s="63"/>
      <c r="B473" s="63"/>
      <c r="C473" s="62"/>
      <c r="D473" s="62"/>
      <c r="E473" s="62"/>
      <c r="F473" s="62"/>
      <c r="G473" s="62"/>
      <c r="H473" s="62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</row>
    <row r="474">
      <c r="A474" s="63"/>
      <c r="B474" s="63"/>
      <c r="C474" s="62"/>
      <c r="D474" s="62"/>
      <c r="E474" s="62"/>
      <c r="F474" s="62"/>
      <c r="G474" s="62"/>
      <c r="H474" s="62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</row>
    <row r="475">
      <c r="A475" s="63"/>
      <c r="B475" s="63"/>
      <c r="C475" s="62"/>
      <c r="D475" s="62"/>
      <c r="E475" s="62"/>
      <c r="F475" s="62"/>
      <c r="G475" s="62"/>
      <c r="H475" s="62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</row>
    <row r="476">
      <c r="A476" s="63"/>
      <c r="B476" s="63"/>
      <c r="C476" s="62"/>
      <c r="D476" s="62"/>
      <c r="E476" s="62"/>
      <c r="F476" s="62"/>
      <c r="G476" s="62"/>
      <c r="H476" s="62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</row>
    <row r="477">
      <c r="A477" s="63"/>
      <c r="B477" s="63"/>
      <c r="C477" s="62"/>
      <c r="D477" s="62"/>
      <c r="E477" s="62"/>
      <c r="F477" s="62"/>
      <c r="G477" s="62"/>
      <c r="H477" s="62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</row>
    <row r="478">
      <c r="A478" s="63"/>
      <c r="B478" s="63"/>
      <c r="C478" s="62"/>
      <c r="D478" s="62"/>
      <c r="E478" s="62"/>
      <c r="F478" s="62"/>
      <c r="G478" s="62"/>
      <c r="H478" s="62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</row>
    <row r="479">
      <c r="A479" s="63"/>
      <c r="B479" s="63"/>
      <c r="C479" s="62"/>
      <c r="D479" s="62"/>
      <c r="E479" s="62"/>
      <c r="F479" s="62"/>
      <c r="G479" s="62"/>
      <c r="H479" s="62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</row>
    <row r="480">
      <c r="A480" s="63"/>
      <c r="B480" s="63"/>
      <c r="C480" s="62"/>
      <c r="D480" s="62"/>
      <c r="E480" s="62"/>
      <c r="F480" s="62"/>
      <c r="G480" s="62"/>
      <c r="H480" s="62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</row>
    <row r="481">
      <c r="A481" s="63"/>
      <c r="B481" s="63"/>
      <c r="C481" s="62"/>
      <c r="D481" s="62"/>
      <c r="E481" s="62"/>
      <c r="F481" s="62"/>
      <c r="G481" s="62"/>
      <c r="H481" s="62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</row>
    <row r="482">
      <c r="A482" s="63"/>
      <c r="B482" s="63"/>
      <c r="C482" s="62"/>
      <c r="D482" s="62"/>
      <c r="E482" s="62"/>
      <c r="F482" s="62"/>
      <c r="G482" s="62"/>
      <c r="H482" s="62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</row>
    <row r="483">
      <c r="A483" s="63"/>
      <c r="B483" s="63"/>
      <c r="C483" s="62"/>
      <c r="D483" s="62"/>
      <c r="E483" s="62"/>
      <c r="F483" s="62"/>
      <c r="G483" s="62"/>
      <c r="H483" s="62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</row>
    <row r="484">
      <c r="A484" s="63"/>
      <c r="B484" s="63"/>
      <c r="C484" s="62"/>
      <c r="D484" s="62"/>
      <c r="E484" s="62"/>
      <c r="F484" s="62"/>
      <c r="G484" s="62"/>
      <c r="H484" s="62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</row>
    <row r="485">
      <c r="A485" s="63"/>
      <c r="B485" s="63"/>
      <c r="C485" s="62"/>
      <c r="D485" s="62"/>
      <c r="E485" s="62"/>
      <c r="F485" s="62"/>
      <c r="G485" s="62"/>
      <c r="H485" s="62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</row>
    <row r="486">
      <c r="A486" s="63"/>
      <c r="B486" s="63"/>
      <c r="C486" s="62"/>
      <c r="D486" s="62"/>
      <c r="E486" s="62"/>
      <c r="F486" s="62"/>
      <c r="G486" s="62"/>
      <c r="H486" s="62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</row>
    <row r="487">
      <c r="A487" s="63"/>
      <c r="B487" s="63"/>
      <c r="C487" s="62"/>
      <c r="D487" s="62"/>
      <c r="E487" s="62"/>
      <c r="F487" s="62"/>
      <c r="G487" s="62"/>
      <c r="H487" s="62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</row>
    <row r="488">
      <c r="A488" s="63"/>
      <c r="B488" s="63"/>
      <c r="C488" s="62"/>
      <c r="D488" s="62"/>
      <c r="E488" s="62"/>
      <c r="F488" s="62"/>
      <c r="G488" s="62"/>
      <c r="H488" s="62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</row>
    <row r="489">
      <c r="A489" s="63"/>
      <c r="B489" s="63"/>
      <c r="C489" s="62"/>
      <c r="D489" s="62"/>
      <c r="E489" s="62"/>
      <c r="F489" s="62"/>
      <c r="G489" s="62"/>
      <c r="H489" s="62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</row>
    <row r="490">
      <c r="A490" s="63"/>
      <c r="B490" s="63"/>
      <c r="C490" s="62"/>
      <c r="D490" s="62"/>
      <c r="E490" s="62"/>
      <c r="F490" s="62"/>
      <c r="G490" s="62"/>
      <c r="H490" s="62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</row>
    <row r="491">
      <c r="A491" s="63"/>
      <c r="B491" s="63"/>
      <c r="C491" s="62"/>
      <c r="D491" s="62"/>
      <c r="E491" s="62"/>
      <c r="F491" s="62"/>
      <c r="G491" s="62"/>
      <c r="H491" s="62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</row>
    <row r="492">
      <c r="A492" s="63"/>
      <c r="B492" s="63"/>
      <c r="C492" s="62"/>
      <c r="D492" s="62"/>
      <c r="E492" s="62"/>
      <c r="F492" s="62"/>
      <c r="G492" s="62"/>
      <c r="H492" s="62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</row>
    <row r="493">
      <c r="A493" s="63"/>
      <c r="B493" s="63"/>
      <c r="C493" s="62"/>
      <c r="D493" s="62"/>
      <c r="E493" s="62"/>
      <c r="F493" s="62"/>
      <c r="G493" s="62"/>
      <c r="H493" s="62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</row>
    <row r="494">
      <c r="A494" s="63"/>
      <c r="B494" s="63"/>
      <c r="C494" s="62"/>
      <c r="D494" s="62"/>
      <c r="E494" s="62"/>
      <c r="F494" s="62"/>
      <c r="G494" s="62"/>
      <c r="H494" s="62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</row>
    <row r="495">
      <c r="A495" s="63"/>
      <c r="B495" s="63"/>
      <c r="C495" s="62"/>
      <c r="D495" s="62"/>
      <c r="E495" s="62"/>
      <c r="F495" s="62"/>
      <c r="G495" s="62"/>
      <c r="H495" s="62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</row>
    <row r="496">
      <c r="A496" s="63"/>
      <c r="B496" s="63"/>
      <c r="C496" s="62"/>
      <c r="D496" s="62"/>
      <c r="E496" s="62"/>
      <c r="F496" s="62"/>
      <c r="G496" s="62"/>
      <c r="H496" s="62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</row>
    <row r="497">
      <c r="A497" s="63"/>
      <c r="B497" s="63"/>
      <c r="C497" s="62"/>
      <c r="D497" s="62"/>
      <c r="E497" s="62"/>
      <c r="F497" s="62"/>
      <c r="G497" s="62"/>
      <c r="H497" s="62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</row>
    <row r="498">
      <c r="A498" s="63"/>
      <c r="B498" s="63"/>
      <c r="C498" s="62"/>
      <c r="D498" s="62"/>
      <c r="E498" s="62"/>
      <c r="F498" s="62"/>
      <c r="G498" s="62"/>
      <c r="H498" s="62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</row>
    <row r="499">
      <c r="A499" s="63"/>
      <c r="B499" s="63"/>
      <c r="C499" s="62"/>
      <c r="D499" s="62"/>
      <c r="E499" s="62"/>
      <c r="F499" s="62"/>
      <c r="G499" s="62"/>
      <c r="H499" s="62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</row>
    <row r="500">
      <c r="A500" s="63"/>
      <c r="B500" s="63"/>
      <c r="C500" s="62"/>
      <c r="D500" s="62"/>
      <c r="E500" s="62"/>
      <c r="F500" s="62"/>
      <c r="G500" s="62"/>
      <c r="H500" s="62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</row>
    <row r="501">
      <c r="A501" s="63"/>
      <c r="B501" s="63"/>
      <c r="C501" s="62"/>
      <c r="D501" s="62"/>
      <c r="E501" s="62"/>
      <c r="F501" s="62"/>
      <c r="G501" s="62"/>
      <c r="H501" s="62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</row>
    <row r="502">
      <c r="A502" s="63"/>
      <c r="B502" s="63"/>
      <c r="C502" s="62"/>
      <c r="D502" s="62"/>
      <c r="E502" s="62"/>
      <c r="F502" s="62"/>
      <c r="G502" s="62"/>
      <c r="H502" s="62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</row>
    <row r="503">
      <c r="A503" s="63"/>
      <c r="B503" s="63"/>
      <c r="C503" s="62"/>
      <c r="D503" s="62"/>
      <c r="E503" s="62"/>
      <c r="F503" s="62"/>
      <c r="G503" s="62"/>
      <c r="H503" s="62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</row>
    <row r="504">
      <c r="A504" s="63"/>
      <c r="B504" s="63"/>
      <c r="C504" s="62"/>
      <c r="D504" s="62"/>
      <c r="E504" s="62"/>
      <c r="F504" s="62"/>
      <c r="G504" s="62"/>
      <c r="H504" s="62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</row>
    <row r="505">
      <c r="A505" s="63"/>
      <c r="B505" s="63"/>
      <c r="C505" s="62"/>
      <c r="D505" s="62"/>
      <c r="E505" s="62"/>
      <c r="F505" s="62"/>
      <c r="G505" s="62"/>
      <c r="H505" s="62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</row>
    <row r="506">
      <c r="A506" s="63"/>
      <c r="B506" s="63"/>
      <c r="C506" s="62"/>
      <c r="D506" s="62"/>
      <c r="E506" s="62"/>
      <c r="F506" s="62"/>
      <c r="G506" s="62"/>
      <c r="H506" s="62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</row>
    <row r="507">
      <c r="A507" s="63"/>
      <c r="B507" s="63"/>
      <c r="C507" s="62"/>
      <c r="D507" s="62"/>
      <c r="E507" s="62"/>
      <c r="F507" s="62"/>
      <c r="G507" s="62"/>
      <c r="H507" s="62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</row>
    <row r="508">
      <c r="A508" s="63"/>
      <c r="B508" s="63"/>
      <c r="C508" s="62"/>
      <c r="D508" s="62"/>
      <c r="E508" s="62"/>
      <c r="F508" s="62"/>
      <c r="G508" s="62"/>
      <c r="H508" s="62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</row>
    <row r="509">
      <c r="A509" s="63"/>
      <c r="B509" s="63"/>
      <c r="C509" s="62"/>
      <c r="D509" s="62"/>
      <c r="E509" s="62"/>
      <c r="F509" s="62"/>
      <c r="G509" s="62"/>
      <c r="H509" s="62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</row>
    <row r="510">
      <c r="A510" s="63"/>
      <c r="B510" s="63"/>
      <c r="C510" s="62"/>
      <c r="D510" s="62"/>
      <c r="E510" s="62"/>
      <c r="F510" s="62"/>
      <c r="G510" s="62"/>
      <c r="H510" s="62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</row>
    <row r="511">
      <c r="A511" s="63"/>
      <c r="B511" s="63"/>
      <c r="C511" s="62"/>
      <c r="D511" s="62"/>
      <c r="E511" s="62"/>
      <c r="F511" s="62"/>
      <c r="G511" s="62"/>
      <c r="H511" s="62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</row>
    <row r="512">
      <c r="A512" s="63"/>
      <c r="B512" s="63"/>
      <c r="C512" s="62"/>
      <c r="D512" s="62"/>
      <c r="E512" s="62"/>
      <c r="F512" s="62"/>
      <c r="G512" s="62"/>
      <c r="H512" s="62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</row>
    <row r="513">
      <c r="A513" s="63"/>
      <c r="B513" s="63"/>
      <c r="C513" s="62"/>
      <c r="D513" s="62"/>
      <c r="E513" s="62"/>
      <c r="F513" s="62"/>
      <c r="G513" s="62"/>
      <c r="H513" s="62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</row>
    <row r="514">
      <c r="A514" s="63"/>
      <c r="B514" s="63"/>
      <c r="C514" s="62"/>
      <c r="D514" s="62"/>
      <c r="E514" s="62"/>
      <c r="F514" s="62"/>
      <c r="G514" s="62"/>
      <c r="H514" s="62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</row>
    <row r="515">
      <c r="A515" s="63"/>
      <c r="B515" s="63"/>
      <c r="C515" s="62"/>
      <c r="D515" s="62"/>
      <c r="E515" s="62"/>
      <c r="F515" s="62"/>
      <c r="G515" s="62"/>
      <c r="H515" s="62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</row>
    <row r="516">
      <c r="A516" s="63"/>
      <c r="B516" s="63"/>
      <c r="C516" s="62"/>
      <c r="D516" s="62"/>
      <c r="E516" s="62"/>
      <c r="F516" s="62"/>
      <c r="G516" s="62"/>
      <c r="H516" s="62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</row>
    <row r="517">
      <c r="A517" s="63"/>
      <c r="B517" s="63"/>
      <c r="C517" s="62"/>
      <c r="D517" s="62"/>
      <c r="E517" s="62"/>
      <c r="F517" s="62"/>
      <c r="G517" s="62"/>
      <c r="H517" s="62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</row>
    <row r="518">
      <c r="A518" s="63"/>
      <c r="B518" s="63"/>
      <c r="C518" s="62"/>
      <c r="D518" s="62"/>
      <c r="E518" s="62"/>
      <c r="F518" s="62"/>
      <c r="G518" s="62"/>
      <c r="H518" s="62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</row>
    <row r="519">
      <c r="A519" s="63"/>
      <c r="B519" s="63"/>
      <c r="C519" s="62"/>
      <c r="D519" s="62"/>
      <c r="E519" s="62"/>
      <c r="F519" s="62"/>
      <c r="G519" s="62"/>
      <c r="H519" s="62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</row>
    <row r="520">
      <c r="A520" s="63"/>
      <c r="B520" s="63"/>
      <c r="C520" s="62"/>
      <c r="D520" s="62"/>
      <c r="E520" s="62"/>
      <c r="F520" s="62"/>
      <c r="G520" s="62"/>
      <c r="H520" s="62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</row>
    <row r="521">
      <c r="A521" s="63"/>
      <c r="B521" s="63"/>
      <c r="C521" s="62"/>
      <c r="D521" s="62"/>
      <c r="E521" s="62"/>
      <c r="F521" s="62"/>
      <c r="G521" s="62"/>
      <c r="H521" s="62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</row>
    <row r="522">
      <c r="A522" s="63"/>
      <c r="B522" s="63"/>
      <c r="C522" s="62"/>
      <c r="D522" s="62"/>
      <c r="E522" s="62"/>
      <c r="F522" s="62"/>
      <c r="G522" s="62"/>
      <c r="H522" s="62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</row>
    <row r="523">
      <c r="A523" s="63"/>
      <c r="B523" s="63"/>
      <c r="C523" s="62"/>
      <c r="D523" s="62"/>
      <c r="E523" s="62"/>
      <c r="F523" s="62"/>
      <c r="G523" s="62"/>
      <c r="H523" s="62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</row>
    <row r="524">
      <c r="A524" s="63"/>
      <c r="B524" s="63"/>
      <c r="C524" s="62"/>
      <c r="D524" s="62"/>
      <c r="E524" s="62"/>
      <c r="F524" s="62"/>
      <c r="G524" s="62"/>
      <c r="H524" s="62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</row>
    <row r="525">
      <c r="A525" s="63"/>
      <c r="B525" s="63"/>
      <c r="C525" s="62"/>
      <c r="D525" s="62"/>
      <c r="E525" s="62"/>
      <c r="F525" s="62"/>
      <c r="G525" s="62"/>
      <c r="H525" s="62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</row>
    <row r="526">
      <c r="A526" s="63"/>
      <c r="B526" s="63"/>
      <c r="C526" s="62"/>
      <c r="D526" s="62"/>
      <c r="E526" s="62"/>
      <c r="F526" s="62"/>
      <c r="G526" s="62"/>
      <c r="H526" s="62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</row>
    <row r="527">
      <c r="A527" s="63"/>
      <c r="B527" s="63"/>
      <c r="C527" s="62"/>
      <c r="D527" s="62"/>
      <c r="E527" s="62"/>
      <c r="F527" s="62"/>
      <c r="G527" s="62"/>
      <c r="H527" s="62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</row>
    <row r="528">
      <c r="A528" s="63"/>
      <c r="B528" s="63"/>
      <c r="C528" s="62"/>
      <c r="D528" s="62"/>
      <c r="E528" s="62"/>
      <c r="F528" s="62"/>
      <c r="G528" s="62"/>
      <c r="H528" s="62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</row>
    <row r="529">
      <c r="A529" s="63"/>
      <c r="B529" s="63"/>
      <c r="C529" s="62"/>
      <c r="D529" s="62"/>
      <c r="E529" s="62"/>
      <c r="F529" s="62"/>
      <c r="G529" s="62"/>
      <c r="H529" s="62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</row>
    <row r="530">
      <c r="A530" s="63"/>
      <c r="B530" s="63"/>
      <c r="C530" s="62"/>
      <c r="D530" s="62"/>
      <c r="E530" s="62"/>
      <c r="F530" s="62"/>
      <c r="G530" s="62"/>
      <c r="H530" s="62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</row>
    <row r="531">
      <c r="A531" s="63"/>
      <c r="B531" s="63"/>
      <c r="C531" s="62"/>
      <c r="D531" s="62"/>
      <c r="E531" s="62"/>
      <c r="F531" s="62"/>
      <c r="G531" s="62"/>
      <c r="H531" s="62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</row>
    <row r="532">
      <c r="A532" s="63"/>
      <c r="B532" s="63"/>
      <c r="C532" s="62"/>
      <c r="D532" s="62"/>
      <c r="E532" s="62"/>
      <c r="F532" s="62"/>
      <c r="G532" s="62"/>
      <c r="H532" s="62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</row>
    <row r="533">
      <c r="A533" s="63"/>
      <c r="B533" s="63"/>
      <c r="C533" s="62"/>
      <c r="D533" s="62"/>
      <c r="E533" s="62"/>
      <c r="F533" s="62"/>
      <c r="G533" s="62"/>
      <c r="H533" s="62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</row>
    <row r="534">
      <c r="A534" s="63"/>
      <c r="B534" s="63"/>
      <c r="C534" s="62"/>
      <c r="D534" s="62"/>
      <c r="E534" s="62"/>
      <c r="F534" s="62"/>
      <c r="G534" s="62"/>
      <c r="H534" s="62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</row>
    <row r="535">
      <c r="A535" s="63"/>
      <c r="B535" s="63"/>
      <c r="C535" s="62"/>
      <c r="D535" s="62"/>
      <c r="E535" s="62"/>
      <c r="F535" s="62"/>
      <c r="G535" s="62"/>
      <c r="H535" s="62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</row>
    <row r="536">
      <c r="A536" s="63"/>
      <c r="B536" s="63"/>
      <c r="C536" s="62"/>
      <c r="D536" s="62"/>
      <c r="E536" s="62"/>
      <c r="F536" s="62"/>
      <c r="G536" s="62"/>
      <c r="H536" s="62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</row>
    <row r="537">
      <c r="A537" s="63"/>
      <c r="B537" s="63"/>
      <c r="C537" s="62"/>
      <c r="D537" s="62"/>
      <c r="E537" s="62"/>
      <c r="F537" s="62"/>
      <c r="G537" s="62"/>
      <c r="H537" s="62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</row>
    <row r="538">
      <c r="A538" s="63"/>
      <c r="B538" s="63"/>
      <c r="C538" s="62"/>
      <c r="D538" s="62"/>
      <c r="E538" s="62"/>
      <c r="F538" s="62"/>
      <c r="G538" s="62"/>
      <c r="H538" s="62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</row>
    <row r="539">
      <c r="A539" s="63"/>
      <c r="B539" s="63"/>
      <c r="C539" s="62"/>
      <c r="D539" s="62"/>
      <c r="E539" s="62"/>
      <c r="F539" s="62"/>
      <c r="G539" s="62"/>
      <c r="H539" s="62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</row>
    <row r="540">
      <c r="A540" s="63"/>
      <c r="B540" s="63"/>
      <c r="C540" s="62"/>
      <c r="D540" s="62"/>
      <c r="E540" s="62"/>
      <c r="F540" s="62"/>
      <c r="G540" s="62"/>
      <c r="H540" s="62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</row>
    <row r="541">
      <c r="A541" s="63"/>
      <c r="B541" s="63"/>
      <c r="C541" s="62"/>
      <c r="D541" s="62"/>
      <c r="E541" s="62"/>
      <c r="F541" s="62"/>
      <c r="G541" s="62"/>
      <c r="H541" s="62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</row>
    <row r="542">
      <c r="A542" s="63"/>
      <c r="B542" s="63"/>
      <c r="C542" s="62"/>
      <c r="D542" s="62"/>
      <c r="E542" s="62"/>
      <c r="F542" s="62"/>
      <c r="G542" s="62"/>
      <c r="H542" s="62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</row>
    <row r="543">
      <c r="A543" s="63"/>
      <c r="B543" s="63"/>
      <c r="C543" s="62"/>
      <c r="D543" s="62"/>
      <c r="E543" s="62"/>
      <c r="F543" s="62"/>
      <c r="G543" s="62"/>
      <c r="H543" s="62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</row>
    <row r="544">
      <c r="A544" s="63"/>
      <c r="B544" s="63"/>
      <c r="C544" s="62"/>
      <c r="D544" s="62"/>
      <c r="E544" s="62"/>
      <c r="F544" s="62"/>
      <c r="G544" s="62"/>
      <c r="H544" s="62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</row>
    <row r="545">
      <c r="A545" s="63"/>
      <c r="B545" s="63"/>
      <c r="C545" s="62"/>
      <c r="D545" s="62"/>
      <c r="E545" s="62"/>
      <c r="F545" s="62"/>
      <c r="G545" s="62"/>
      <c r="H545" s="62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</row>
    <row r="546">
      <c r="A546" s="63"/>
      <c r="B546" s="63"/>
      <c r="C546" s="62"/>
      <c r="D546" s="62"/>
      <c r="E546" s="62"/>
      <c r="F546" s="62"/>
      <c r="G546" s="62"/>
      <c r="H546" s="62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</row>
    <row r="547">
      <c r="A547" s="63"/>
      <c r="B547" s="63"/>
      <c r="C547" s="62"/>
      <c r="D547" s="62"/>
      <c r="E547" s="62"/>
      <c r="F547" s="62"/>
      <c r="G547" s="62"/>
      <c r="H547" s="62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</row>
    <row r="548">
      <c r="A548" s="63"/>
      <c r="B548" s="63"/>
      <c r="C548" s="62"/>
      <c r="D548" s="62"/>
      <c r="E548" s="62"/>
      <c r="F548" s="62"/>
      <c r="G548" s="62"/>
      <c r="H548" s="62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</row>
    <row r="549">
      <c r="A549" s="63"/>
      <c r="B549" s="63"/>
      <c r="C549" s="62"/>
      <c r="D549" s="62"/>
      <c r="E549" s="62"/>
      <c r="F549" s="62"/>
      <c r="G549" s="62"/>
      <c r="H549" s="62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</row>
    <row r="550">
      <c r="A550" s="63"/>
      <c r="B550" s="63"/>
      <c r="C550" s="62"/>
      <c r="D550" s="62"/>
      <c r="E550" s="62"/>
      <c r="F550" s="62"/>
      <c r="G550" s="62"/>
      <c r="H550" s="62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</row>
    <row r="551">
      <c r="A551" s="63"/>
      <c r="B551" s="63"/>
      <c r="C551" s="62"/>
      <c r="D551" s="62"/>
      <c r="E551" s="62"/>
      <c r="F551" s="62"/>
      <c r="G551" s="62"/>
      <c r="H551" s="62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</row>
    <row r="552">
      <c r="A552" s="63"/>
      <c r="B552" s="63"/>
      <c r="C552" s="62"/>
      <c r="D552" s="62"/>
      <c r="E552" s="62"/>
      <c r="F552" s="62"/>
      <c r="G552" s="62"/>
      <c r="H552" s="62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</row>
    <row r="553">
      <c r="A553" s="63"/>
      <c r="B553" s="63"/>
      <c r="C553" s="62"/>
      <c r="D553" s="62"/>
      <c r="E553" s="62"/>
      <c r="F553" s="62"/>
      <c r="G553" s="62"/>
      <c r="H553" s="62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</row>
    <row r="554">
      <c r="A554" s="63"/>
      <c r="B554" s="63"/>
      <c r="C554" s="62"/>
      <c r="D554" s="62"/>
      <c r="E554" s="62"/>
      <c r="F554" s="62"/>
      <c r="G554" s="62"/>
      <c r="H554" s="62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</row>
    <row r="555">
      <c r="A555" s="63"/>
      <c r="B555" s="63"/>
      <c r="C555" s="62"/>
      <c r="D555" s="62"/>
      <c r="E555" s="62"/>
      <c r="F555" s="62"/>
      <c r="G555" s="62"/>
      <c r="H555" s="62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</row>
    <row r="556">
      <c r="A556" s="63"/>
      <c r="B556" s="63"/>
      <c r="C556" s="62"/>
      <c r="D556" s="62"/>
      <c r="E556" s="62"/>
      <c r="F556" s="62"/>
      <c r="G556" s="62"/>
      <c r="H556" s="62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</row>
    <row r="557">
      <c r="A557" s="63"/>
      <c r="B557" s="63"/>
      <c r="C557" s="62"/>
      <c r="D557" s="62"/>
      <c r="E557" s="62"/>
      <c r="F557" s="62"/>
      <c r="G557" s="62"/>
      <c r="H557" s="62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</row>
    <row r="558">
      <c r="A558" s="63"/>
      <c r="B558" s="63"/>
      <c r="C558" s="62"/>
      <c r="D558" s="62"/>
      <c r="E558" s="62"/>
      <c r="F558" s="62"/>
      <c r="G558" s="62"/>
      <c r="H558" s="62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</row>
    <row r="559">
      <c r="A559" s="63"/>
      <c r="B559" s="63"/>
      <c r="C559" s="62"/>
      <c r="D559" s="62"/>
      <c r="E559" s="62"/>
      <c r="F559" s="62"/>
      <c r="G559" s="62"/>
      <c r="H559" s="62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</row>
    <row r="560">
      <c r="A560" s="63"/>
      <c r="B560" s="63"/>
      <c r="C560" s="62"/>
      <c r="D560" s="62"/>
      <c r="E560" s="62"/>
      <c r="F560" s="62"/>
      <c r="G560" s="62"/>
      <c r="H560" s="62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</row>
    <row r="561">
      <c r="A561" s="63"/>
      <c r="B561" s="63"/>
      <c r="C561" s="62"/>
      <c r="D561" s="62"/>
      <c r="E561" s="62"/>
      <c r="F561" s="62"/>
      <c r="G561" s="62"/>
      <c r="H561" s="62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</row>
    <row r="562">
      <c r="A562" s="63"/>
      <c r="B562" s="63"/>
      <c r="C562" s="62"/>
      <c r="D562" s="62"/>
      <c r="E562" s="62"/>
      <c r="F562" s="62"/>
      <c r="G562" s="62"/>
      <c r="H562" s="62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</row>
    <row r="563">
      <c r="A563" s="63"/>
      <c r="B563" s="63"/>
      <c r="C563" s="62"/>
      <c r="D563" s="62"/>
      <c r="E563" s="62"/>
      <c r="F563" s="62"/>
      <c r="G563" s="62"/>
      <c r="H563" s="62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</row>
    <row r="564">
      <c r="A564" s="63"/>
      <c r="B564" s="63"/>
      <c r="C564" s="62"/>
      <c r="D564" s="62"/>
      <c r="E564" s="62"/>
      <c r="F564" s="62"/>
      <c r="G564" s="62"/>
      <c r="H564" s="62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</row>
    <row r="565">
      <c r="A565" s="63"/>
      <c r="B565" s="63"/>
      <c r="C565" s="62"/>
      <c r="D565" s="62"/>
      <c r="E565" s="62"/>
      <c r="F565" s="62"/>
      <c r="G565" s="62"/>
      <c r="H565" s="62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</row>
    <row r="566">
      <c r="A566" s="63"/>
      <c r="B566" s="63"/>
      <c r="C566" s="62"/>
      <c r="D566" s="62"/>
      <c r="E566" s="62"/>
      <c r="F566" s="62"/>
      <c r="G566" s="62"/>
      <c r="H566" s="62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</row>
    <row r="567">
      <c r="A567" s="63"/>
      <c r="B567" s="63"/>
      <c r="C567" s="62"/>
      <c r="D567" s="62"/>
      <c r="E567" s="62"/>
      <c r="F567" s="62"/>
      <c r="G567" s="62"/>
      <c r="H567" s="62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</row>
    <row r="568">
      <c r="A568" s="63"/>
      <c r="B568" s="63"/>
      <c r="C568" s="62"/>
      <c r="D568" s="62"/>
      <c r="E568" s="62"/>
      <c r="F568" s="62"/>
      <c r="G568" s="62"/>
      <c r="H568" s="62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</row>
    <row r="569">
      <c r="A569" s="63"/>
      <c r="B569" s="63"/>
      <c r="C569" s="62"/>
      <c r="D569" s="62"/>
      <c r="E569" s="62"/>
      <c r="F569" s="62"/>
      <c r="G569" s="62"/>
      <c r="H569" s="62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</row>
    <row r="570">
      <c r="A570" s="63"/>
      <c r="B570" s="63"/>
      <c r="C570" s="62"/>
      <c r="D570" s="62"/>
      <c r="E570" s="62"/>
      <c r="F570" s="62"/>
      <c r="G570" s="62"/>
      <c r="H570" s="62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</row>
    <row r="571">
      <c r="A571" s="63"/>
      <c r="B571" s="63"/>
      <c r="C571" s="62"/>
      <c r="D571" s="62"/>
      <c r="E571" s="62"/>
      <c r="F571" s="62"/>
      <c r="G571" s="62"/>
      <c r="H571" s="62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</row>
    <row r="572">
      <c r="A572" s="63"/>
      <c r="B572" s="63"/>
      <c r="C572" s="62"/>
      <c r="D572" s="62"/>
      <c r="E572" s="62"/>
      <c r="F572" s="62"/>
      <c r="G572" s="62"/>
      <c r="H572" s="62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</row>
    <row r="573">
      <c r="A573" s="63"/>
      <c r="B573" s="63"/>
      <c r="C573" s="62"/>
      <c r="D573" s="62"/>
      <c r="E573" s="62"/>
      <c r="F573" s="62"/>
      <c r="G573" s="62"/>
      <c r="H573" s="62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</row>
    <row r="574">
      <c r="A574" s="63"/>
      <c r="B574" s="63"/>
      <c r="C574" s="62"/>
      <c r="D574" s="62"/>
      <c r="E574" s="62"/>
      <c r="F574" s="62"/>
      <c r="G574" s="62"/>
      <c r="H574" s="62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</row>
    <row r="575">
      <c r="A575" s="63"/>
      <c r="B575" s="63"/>
      <c r="C575" s="62"/>
      <c r="D575" s="62"/>
      <c r="E575" s="62"/>
      <c r="F575" s="62"/>
      <c r="G575" s="62"/>
      <c r="H575" s="62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</row>
    <row r="576">
      <c r="A576" s="63"/>
      <c r="B576" s="63"/>
      <c r="C576" s="62"/>
      <c r="D576" s="62"/>
      <c r="E576" s="62"/>
      <c r="F576" s="62"/>
      <c r="G576" s="62"/>
      <c r="H576" s="62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</row>
    <row r="577">
      <c r="A577" s="63"/>
      <c r="B577" s="63"/>
      <c r="C577" s="62"/>
      <c r="D577" s="62"/>
      <c r="E577" s="62"/>
      <c r="F577" s="62"/>
      <c r="G577" s="62"/>
      <c r="H577" s="62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</row>
    <row r="578">
      <c r="A578" s="63"/>
      <c r="B578" s="63"/>
      <c r="C578" s="62"/>
      <c r="D578" s="62"/>
      <c r="E578" s="62"/>
      <c r="F578" s="62"/>
      <c r="G578" s="62"/>
      <c r="H578" s="62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</row>
    <row r="579">
      <c r="A579" s="63"/>
      <c r="B579" s="63"/>
      <c r="C579" s="62"/>
      <c r="D579" s="62"/>
      <c r="E579" s="62"/>
      <c r="F579" s="62"/>
      <c r="G579" s="62"/>
      <c r="H579" s="62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</row>
    <row r="580">
      <c r="A580" s="63"/>
      <c r="B580" s="63"/>
      <c r="C580" s="62"/>
      <c r="D580" s="62"/>
      <c r="E580" s="62"/>
      <c r="F580" s="62"/>
      <c r="G580" s="62"/>
      <c r="H580" s="62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</row>
    <row r="581">
      <c r="A581" s="63"/>
      <c r="B581" s="63"/>
      <c r="C581" s="62"/>
      <c r="D581" s="62"/>
      <c r="E581" s="62"/>
      <c r="F581" s="62"/>
      <c r="G581" s="62"/>
      <c r="H581" s="62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</row>
    <row r="582">
      <c r="A582" s="63"/>
      <c r="B582" s="63"/>
      <c r="C582" s="62"/>
      <c r="D582" s="62"/>
      <c r="E582" s="62"/>
      <c r="F582" s="62"/>
      <c r="G582" s="62"/>
      <c r="H582" s="62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</row>
    <row r="583">
      <c r="A583" s="63"/>
      <c r="B583" s="63"/>
      <c r="C583" s="62"/>
      <c r="D583" s="62"/>
      <c r="E583" s="62"/>
      <c r="F583" s="62"/>
      <c r="G583" s="62"/>
      <c r="H583" s="62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</row>
    <row r="584">
      <c r="A584" s="63"/>
      <c r="B584" s="63"/>
      <c r="C584" s="62"/>
      <c r="D584" s="62"/>
      <c r="E584" s="62"/>
      <c r="F584" s="62"/>
      <c r="G584" s="62"/>
      <c r="H584" s="62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</row>
    <row r="585">
      <c r="A585" s="63"/>
      <c r="B585" s="63"/>
      <c r="C585" s="62"/>
      <c r="D585" s="62"/>
      <c r="E585" s="62"/>
      <c r="F585" s="62"/>
      <c r="G585" s="62"/>
      <c r="H585" s="62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</row>
    <row r="586">
      <c r="A586" s="63"/>
      <c r="B586" s="63"/>
      <c r="C586" s="62"/>
      <c r="D586" s="62"/>
      <c r="E586" s="62"/>
      <c r="F586" s="62"/>
      <c r="G586" s="62"/>
      <c r="H586" s="62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</row>
    <row r="587">
      <c r="A587" s="63"/>
      <c r="B587" s="63"/>
      <c r="C587" s="62"/>
      <c r="D587" s="62"/>
      <c r="E587" s="62"/>
      <c r="F587" s="62"/>
      <c r="G587" s="62"/>
      <c r="H587" s="62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</row>
    <row r="588">
      <c r="A588" s="63"/>
      <c r="B588" s="63"/>
      <c r="C588" s="62"/>
      <c r="D588" s="62"/>
      <c r="E588" s="62"/>
      <c r="F588" s="62"/>
      <c r="G588" s="62"/>
      <c r="H588" s="62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</row>
    <row r="589">
      <c r="A589" s="63"/>
      <c r="B589" s="63"/>
      <c r="C589" s="62"/>
      <c r="D589" s="62"/>
      <c r="E589" s="62"/>
      <c r="F589" s="62"/>
      <c r="G589" s="62"/>
      <c r="H589" s="62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</row>
    <row r="590">
      <c r="A590" s="63"/>
      <c r="B590" s="63"/>
      <c r="C590" s="62"/>
      <c r="D590" s="62"/>
      <c r="E590" s="62"/>
      <c r="F590" s="62"/>
      <c r="G590" s="62"/>
      <c r="H590" s="62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</row>
    <row r="591">
      <c r="A591" s="63"/>
      <c r="B591" s="63"/>
      <c r="C591" s="62"/>
      <c r="D591" s="62"/>
      <c r="E591" s="62"/>
      <c r="F591" s="62"/>
      <c r="G591" s="62"/>
      <c r="H591" s="62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</row>
    <row r="592">
      <c r="A592" s="63"/>
      <c r="B592" s="63"/>
      <c r="C592" s="62"/>
      <c r="D592" s="62"/>
      <c r="E592" s="62"/>
      <c r="F592" s="62"/>
      <c r="G592" s="62"/>
      <c r="H592" s="62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</row>
    <row r="593">
      <c r="A593" s="63"/>
      <c r="B593" s="63"/>
      <c r="C593" s="62"/>
      <c r="D593" s="62"/>
      <c r="E593" s="62"/>
      <c r="F593" s="62"/>
      <c r="G593" s="62"/>
      <c r="H593" s="62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</row>
    <row r="594">
      <c r="A594" s="63"/>
      <c r="B594" s="63"/>
      <c r="C594" s="62"/>
      <c r="D594" s="62"/>
      <c r="E594" s="62"/>
      <c r="F594" s="62"/>
      <c r="G594" s="62"/>
      <c r="H594" s="62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</row>
    <row r="595">
      <c r="A595" s="63"/>
      <c r="B595" s="63"/>
      <c r="C595" s="62"/>
      <c r="D595" s="62"/>
      <c r="E595" s="62"/>
      <c r="F595" s="62"/>
      <c r="G595" s="62"/>
      <c r="H595" s="62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</row>
    <row r="596">
      <c r="A596" s="63"/>
      <c r="B596" s="63"/>
      <c r="C596" s="62"/>
      <c r="D596" s="62"/>
      <c r="E596" s="62"/>
      <c r="F596" s="62"/>
      <c r="G596" s="62"/>
      <c r="H596" s="62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</row>
    <row r="597">
      <c r="A597" s="63"/>
      <c r="B597" s="63"/>
      <c r="C597" s="62"/>
      <c r="D597" s="62"/>
      <c r="E597" s="62"/>
      <c r="F597" s="62"/>
      <c r="G597" s="62"/>
      <c r="H597" s="62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</row>
    <row r="598">
      <c r="A598" s="63"/>
      <c r="B598" s="63"/>
      <c r="C598" s="62"/>
      <c r="D598" s="62"/>
      <c r="E598" s="62"/>
      <c r="F598" s="62"/>
      <c r="G598" s="62"/>
      <c r="H598" s="62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</row>
    <row r="599">
      <c r="A599" s="63"/>
      <c r="B599" s="63"/>
      <c r="C599" s="62"/>
      <c r="D599" s="62"/>
      <c r="E599" s="62"/>
      <c r="F599" s="62"/>
      <c r="G599" s="62"/>
      <c r="H599" s="62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</row>
    <row r="600">
      <c r="A600" s="63"/>
      <c r="B600" s="63"/>
      <c r="C600" s="62"/>
      <c r="D600" s="62"/>
      <c r="E600" s="62"/>
      <c r="F600" s="62"/>
      <c r="G600" s="62"/>
      <c r="H600" s="62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</row>
    <row r="601">
      <c r="A601" s="63"/>
      <c r="B601" s="63"/>
      <c r="C601" s="62"/>
      <c r="D601" s="62"/>
      <c r="E601" s="62"/>
      <c r="F601" s="62"/>
      <c r="G601" s="62"/>
      <c r="H601" s="62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</row>
    <row r="602">
      <c r="A602" s="63"/>
      <c r="B602" s="63"/>
      <c r="C602" s="62"/>
      <c r="D602" s="62"/>
      <c r="E602" s="62"/>
      <c r="F602" s="62"/>
      <c r="G602" s="62"/>
      <c r="H602" s="62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</row>
    <row r="603">
      <c r="A603" s="63"/>
      <c r="B603" s="63"/>
      <c r="C603" s="62"/>
      <c r="D603" s="62"/>
      <c r="E603" s="62"/>
      <c r="F603" s="62"/>
      <c r="G603" s="62"/>
      <c r="H603" s="62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</row>
    <row r="604">
      <c r="A604" s="63"/>
      <c r="B604" s="63"/>
      <c r="C604" s="62"/>
      <c r="D604" s="62"/>
      <c r="E604" s="62"/>
      <c r="F604" s="62"/>
      <c r="G604" s="62"/>
      <c r="H604" s="62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</row>
    <row r="605">
      <c r="A605" s="63"/>
      <c r="B605" s="63"/>
      <c r="C605" s="62"/>
      <c r="D605" s="62"/>
      <c r="E605" s="62"/>
      <c r="F605" s="62"/>
      <c r="G605" s="62"/>
      <c r="H605" s="62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</row>
    <row r="606">
      <c r="A606" s="63"/>
      <c r="B606" s="63"/>
      <c r="C606" s="62"/>
      <c r="D606" s="62"/>
      <c r="E606" s="62"/>
      <c r="F606" s="62"/>
      <c r="G606" s="62"/>
      <c r="H606" s="62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</row>
    <row r="607">
      <c r="A607" s="63"/>
      <c r="B607" s="63"/>
      <c r="C607" s="62"/>
      <c r="D607" s="62"/>
      <c r="E607" s="62"/>
      <c r="F607" s="62"/>
      <c r="G607" s="62"/>
      <c r="H607" s="62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</row>
    <row r="608">
      <c r="A608" s="63"/>
      <c r="B608" s="63"/>
      <c r="C608" s="62"/>
      <c r="D608" s="62"/>
      <c r="E608" s="62"/>
      <c r="F608" s="62"/>
      <c r="G608" s="62"/>
      <c r="H608" s="62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</row>
    <row r="609">
      <c r="A609" s="63"/>
      <c r="B609" s="63"/>
      <c r="C609" s="62"/>
      <c r="D609" s="62"/>
      <c r="E609" s="62"/>
      <c r="F609" s="62"/>
      <c r="G609" s="62"/>
      <c r="H609" s="62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</row>
    <row r="610">
      <c r="A610" s="63"/>
      <c r="B610" s="63"/>
      <c r="C610" s="62"/>
      <c r="D610" s="62"/>
      <c r="E610" s="62"/>
      <c r="F610" s="62"/>
      <c r="G610" s="62"/>
      <c r="H610" s="62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</row>
    <row r="611">
      <c r="A611" s="63"/>
      <c r="B611" s="63"/>
      <c r="C611" s="62"/>
      <c r="D611" s="62"/>
      <c r="E611" s="62"/>
      <c r="F611" s="62"/>
      <c r="G611" s="62"/>
      <c r="H611" s="62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</row>
    <row r="612">
      <c r="A612" s="63"/>
      <c r="B612" s="63"/>
      <c r="C612" s="62"/>
      <c r="D612" s="62"/>
      <c r="E612" s="62"/>
      <c r="F612" s="62"/>
      <c r="G612" s="62"/>
      <c r="H612" s="62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</row>
    <row r="613">
      <c r="A613" s="63"/>
      <c r="B613" s="63"/>
      <c r="C613" s="62"/>
      <c r="D613" s="62"/>
      <c r="E613" s="62"/>
      <c r="F613" s="62"/>
      <c r="G613" s="62"/>
      <c r="H613" s="62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</row>
    <row r="614">
      <c r="A614" s="63"/>
      <c r="B614" s="63"/>
      <c r="C614" s="62"/>
      <c r="D614" s="62"/>
      <c r="E614" s="62"/>
      <c r="F614" s="62"/>
      <c r="G614" s="62"/>
      <c r="H614" s="62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</row>
    <row r="615">
      <c r="A615" s="63"/>
      <c r="B615" s="63"/>
      <c r="C615" s="62"/>
      <c r="D615" s="62"/>
      <c r="E615" s="62"/>
      <c r="F615" s="62"/>
      <c r="G615" s="62"/>
      <c r="H615" s="62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</row>
    <row r="616">
      <c r="A616" s="63"/>
      <c r="B616" s="63"/>
      <c r="C616" s="62"/>
      <c r="D616" s="62"/>
      <c r="E616" s="62"/>
      <c r="F616" s="62"/>
      <c r="G616" s="62"/>
      <c r="H616" s="62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</row>
    <row r="617">
      <c r="A617" s="63"/>
      <c r="B617" s="63"/>
      <c r="C617" s="62"/>
      <c r="D617" s="62"/>
      <c r="E617" s="62"/>
      <c r="F617" s="62"/>
      <c r="G617" s="62"/>
      <c r="H617" s="62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</row>
    <row r="618">
      <c r="A618" s="63"/>
      <c r="B618" s="63"/>
      <c r="C618" s="62"/>
      <c r="D618" s="62"/>
      <c r="E618" s="62"/>
      <c r="F618" s="62"/>
      <c r="G618" s="62"/>
      <c r="H618" s="62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</row>
    <row r="619">
      <c r="A619" s="63"/>
      <c r="B619" s="63"/>
      <c r="C619" s="62"/>
      <c r="D619" s="62"/>
      <c r="E619" s="62"/>
      <c r="F619" s="62"/>
      <c r="G619" s="62"/>
      <c r="H619" s="62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</row>
    <row r="620">
      <c r="A620" s="63"/>
      <c r="B620" s="63"/>
      <c r="C620" s="62"/>
      <c r="D620" s="62"/>
      <c r="E620" s="62"/>
      <c r="F620" s="62"/>
      <c r="G620" s="62"/>
      <c r="H620" s="62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</row>
    <row r="621">
      <c r="A621" s="63"/>
      <c r="B621" s="63"/>
      <c r="C621" s="62"/>
      <c r="D621" s="62"/>
      <c r="E621" s="62"/>
      <c r="F621" s="62"/>
      <c r="G621" s="62"/>
      <c r="H621" s="62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</row>
    <row r="622">
      <c r="A622" s="63"/>
      <c r="B622" s="63"/>
      <c r="C622" s="62"/>
      <c r="D622" s="62"/>
      <c r="E622" s="62"/>
      <c r="F622" s="62"/>
      <c r="G622" s="62"/>
      <c r="H622" s="62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</row>
    <row r="623">
      <c r="A623" s="63"/>
      <c r="B623" s="63"/>
      <c r="C623" s="62"/>
      <c r="D623" s="62"/>
      <c r="E623" s="62"/>
      <c r="F623" s="62"/>
      <c r="G623" s="62"/>
      <c r="H623" s="62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</row>
    <row r="624">
      <c r="A624" s="63"/>
      <c r="B624" s="63"/>
      <c r="C624" s="62"/>
      <c r="D624" s="62"/>
      <c r="E624" s="62"/>
      <c r="F624" s="62"/>
      <c r="G624" s="62"/>
      <c r="H624" s="62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</row>
    <row r="625">
      <c r="A625" s="63"/>
      <c r="B625" s="63"/>
      <c r="C625" s="62"/>
      <c r="D625" s="62"/>
      <c r="E625" s="62"/>
      <c r="F625" s="62"/>
      <c r="G625" s="62"/>
      <c r="H625" s="62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</row>
    <row r="626">
      <c r="A626" s="63"/>
      <c r="B626" s="63"/>
      <c r="C626" s="62"/>
      <c r="D626" s="62"/>
      <c r="E626" s="62"/>
      <c r="F626" s="62"/>
      <c r="G626" s="62"/>
      <c r="H626" s="62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</row>
    <row r="627">
      <c r="A627" s="63"/>
      <c r="B627" s="63"/>
      <c r="C627" s="62"/>
      <c r="D627" s="62"/>
      <c r="E627" s="62"/>
      <c r="F627" s="62"/>
      <c r="G627" s="62"/>
      <c r="H627" s="62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</row>
    <row r="628">
      <c r="A628" s="63"/>
      <c r="B628" s="63"/>
      <c r="C628" s="62"/>
      <c r="D628" s="62"/>
      <c r="E628" s="62"/>
      <c r="F628" s="62"/>
      <c r="G628" s="62"/>
      <c r="H628" s="62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</row>
    <row r="629">
      <c r="A629" s="63"/>
      <c r="B629" s="63"/>
      <c r="C629" s="62"/>
      <c r="D629" s="62"/>
      <c r="E629" s="62"/>
      <c r="F629" s="62"/>
      <c r="G629" s="62"/>
      <c r="H629" s="62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</row>
    <row r="630">
      <c r="A630" s="63"/>
      <c r="B630" s="63"/>
      <c r="C630" s="62"/>
      <c r="D630" s="62"/>
      <c r="E630" s="62"/>
      <c r="F630" s="62"/>
      <c r="G630" s="62"/>
      <c r="H630" s="62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</row>
    <row r="631">
      <c r="A631" s="63"/>
      <c r="B631" s="63"/>
      <c r="C631" s="62"/>
      <c r="D631" s="62"/>
      <c r="E631" s="62"/>
      <c r="F631" s="62"/>
      <c r="G631" s="62"/>
      <c r="H631" s="62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</row>
    <row r="632">
      <c r="A632" s="63"/>
      <c r="B632" s="63"/>
      <c r="C632" s="62"/>
      <c r="D632" s="62"/>
      <c r="E632" s="62"/>
      <c r="F632" s="62"/>
      <c r="G632" s="62"/>
      <c r="H632" s="62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</row>
    <row r="633">
      <c r="A633" s="63"/>
      <c r="B633" s="63"/>
      <c r="C633" s="62"/>
      <c r="D633" s="62"/>
      <c r="E633" s="62"/>
      <c r="F633" s="62"/>
      <c r="G633" s="62"/>
      <c r="H633" s="62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</row>
    <row r="634">
      <c r="A634" s="63"/>
      <c r="B634" s="63"/>
      <c r="C634" s="62"/>
      <c r="D634" s="62"/>
      <c r="E634" s="62"/>
      <c r="F634" s="62"/>
      <c r="G634" s="62"/>
      <c r="H634" s="62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</row>
    <row r="635">
      <c r="A635" s="63"/>
      <c r="B635" s="63"/>
      <c r="C635" s="62"/>
      <c r="D635" s="62"/>
      <c r="E635" s="62"/>
      <c r="F635" s="62"/>
      <c r="G635" s="62"/>
      <c r="H635" s="62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</row>
    <row r="636">
      <c r="A636" s="63"/>
      <c r="B636" s="63"/>
      <c r="C636" s="62"/>
      <c r="D636" s="62"/>
      <c r="E636" s="62"/>
      <c r="F636" s="62"/>
      <c r="G636" s="62"/>
      <c r="H636" s="62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</row>
    <row r="637">
      <c r="A637" s="63"/>
      <c r="B637" s="63"/>
      <c r="C637" s="62"/>
      <c r="D637" s="62"/>
      <c r="E637" s="62"/>
      <c r="F637" s="62"/>
      <c r="G637" s="62"/>
      <c r="H637" s="62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</row>
    <row r="638">
      <c r="A638" s="63"/>
      <c r="B638" s="63"/>
      <c r="C638" s="62"/>
      <c r="D638" s="62"/>
      <c r="E638" s="62"/>
      <c r="F638" s="62"/>
      <c r="G638" s="62"/>
      <c r="H638" s="62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</row>
    <row r="639">
      <c r="A639" s="63"/>
      <c r="B639" s="63"/>
      <c r="C639" s="62"/>
      <c r="D639" s="62"/>
      <c r="E639" s="62"/>
      <c r="F639" s="62"/>
      <c r="G639" s="62"/>
      <c r="H639" s="62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</row>
    <row r="640">
      <c r="A640" s="63"/>
      <c r="B640" s="63"/>
      <c r="C640" s="62"/>
      <c r="D640" s="62"/>
      <c r="E640" s="62"/>
      <c r="F640" s="62"/>
      <c r="G640" s="62"/>
      <c r="H640" s="62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</row>
    <row r="641">
      <c r="A641" s="63"/>
      <c r="B641" s="63"/>
      <c r="C641" s="62"/>
      <c r="D641" s="62"/>
      <c r="E641" s="62"/>
      <c r="F641" s="62"/>
      <c r="G641" s="62"/>
      <c r="H641" s="62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</row>
    <row r="642">
      <c r="A642" s="63"/>
      <c r="B642" s="63"/>
      <c r="C642" s="62"/>
      <c r="D642" s="62"/>
      <c r="E642" s="62"/>
      <c r="F642" s="62"/>
      <c r="G642" s="62"/>
      <c r="H642" s="62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</row>
    <row r="643">
      <c r="A643" s="63"/>
      <c r="B643" s="63"/>
      <c r="C643" s="62"/>
      <c r="D643" s="62"/>
      <c r="E643" s="62"/>
      <c r="F643" s="62"/>
      <c r="G643" s="62"/>
      <c r="H643" s="62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</row>
    <row r="644">
      <c r="A644" s="63"/>
      <c r="B644" s="63"/>
      <c r="C644" s="62"/>
      <c r="D644" s="62"/>
      <c r="E644" s="62"/>
      <c r="F644" s="62"/>
      <c r="G644" s="62"/>
      <c r="H644" s="62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</row>
    <row r="645">
      <c r="A645" s="63"/>
      <c r="B645" s="63"/>
      <c r="C645" s="62"/>
      <c r="D645" s="62"/>
      <c r="E645" s="62"/>
      <c r="F645" s="62"/>
      <c r="G645" s="62"/>
      <c r="H645" s="62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</row>
    <row r="646">
      <c r="A646" s="63"/>
      <c r="B646" s="63"/>
      <c r="C646" s="62"/>
      <c r="D646" s="62"/>
      <c r="E646" s="62"/>
      <c r="F646" s="62"/>
      <c r="G646" s="62"/>
      <c r="H646" s="62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</row>
    <row r="647">
      <c r="A647" s="63"/>
      <c r="B647" s="63"/>
      <c r="C647" s="62"/>
      <c r="D647" s="62"/>
      <c r="E647" s="62"/>
      <c r="F647" s="62"/>
      <c r="G647" s="62"/>
      <c r="H647" s="62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</row>
    <row r="648">
      <c r="A648" s="63"/>
      <c r="B648" s="63"/>
      <c r="C648" s="62"/>
      <c r="D648" s="62"/>
      <c r="E648" s="62"/>
      <c r="F648" s="62"/>
      <c r="G648" s="62"/>
      <c r="H648" s="62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</row>
    <row r="649">
      <c r="A649" s="63"/>
      <c r="B649" s="63"/>
      <c r="C649" s="62"/>
      <c r="D649" s="62"/>
      <c r="E649" s="62"/>
      <c r="F649" s="62"/>
      <c r="G649" s="62"/>
      <c r="H649" s="62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</row>
    <row r="650">
      <c r="A650" s="63"/>
      <c r="B650" s="63"/>
      <c r="C650" s="62"/>
      <c r="D650" s="62"/>
      <c r="E650" s="62"/>
      <c r="F650" s="62"/>
      <c r="G650" s="62"/>
      <c r="H650" s="62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</row>
    <row r="651">
      <c r="A651" s="63"/>
      <c r="B651" s="63"/>
      <c r="C651" s="62"/>
      <c r="D651" s="62"/>
      <c r="E651" s="62"/>
      <c r="F651" s="62"/>
      <c r="G651" s="62"/>
      <c r="H651" s="62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</row>
    <row r="652">
      <c r="A652" s="63"/>
      <c r="B652" s="63"/>
      <c r="C652" s="62"/>
      <c r="D652" s="62"/>
      <c r="E652" s="62"/>
      <c r="F652" s="62"/>
      <c r="G652" s="62"/>
      <c r="H652" s="62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</row>
    <row r="653">
      <c r="A653" s="63"/>
      <c r="B653" s="63"/>
      <c r="C653" s="62"/>
      <c r="D653" s="62"/>
      <c r="E653" s="62"/>
      <c r="F653" s="62"/>
      <c r="G653" s="62"/>
      <c r="H653" s="62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</row>
    <row r="654">
      <c r="A654" s="63"/>
      <c r="B654" s="63"/>
      <c r="C654" s="62"/>
      <c r="D654" s="62"/>
      <c r="E654" s="62"/>
      <c r="F654" s="62"/>
      <c r="G654" s="62"/>
      <c r="H654" s="62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</row>
    <row r="655">
      <c r="A655" s="63"/>
      <c r="B655" s="63"/>
      <c r="C655" s="62"/>
      <c r="D655" s="62"/>
      <c r="E655" s="62"/>
      <c r="F655" s="62"/>
      <c r="G655" s="62"/>
      <c r="H655" s="62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</row>
    <row r="656">
      <c r="A656" s="63"/>
      <c r="B656" s="63"/>
      <c r="C656" s="62"/>
      <c r="D656" s="62"/>
      <c r="E656" s="62"/>
      <c r="F656" s="62"/>
      <c r="G656" s="62"/>
      <c r="H656" s="62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</row>
    <row r="657">
      <c r="A657" s="63"/>
      <c r="B657" s="63"/>
      <c r="C657" s="62"/>
      <c r="D657" s="62"/>
      <c r="E657" s="62"/>
      <c r="F657" s="62"/>
      <c r="G657" s="62"/>
      <c r="H657" s="62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</row>
    <row r="658">
      <c r="A658" s="63"/>
      <c r="B658" s="63"/>
      <c r="C658" s="62"/>
      <c r="D658" s="62"/>
      <c r="E658" s="62"/>
      <c r="F658" s="62"/>
      <c r="G658" s="62"/>
      <c r="H658" s="62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</row>
    <row r="659">
      <c r="A659" s="63"/>
      <c r="B659" s="63"/>
      <c r="C659" s="62"/>
      <c r="D659" s="62"/>
      <c r="E659" s="62"/>
      <c r="F659" s="62"/>
      <c r="G659" s="62"/>
      <c r="H659" s="62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</row>
    <row r="660">
      <c r="A660" s="63"/>
      <c r="B660" s="63"/>
      <c r="C660" s="62"/>
      <c r="D660" s="62"/>
      <c r="E660" s="62"/>
      <c r="F660" s="62"/>
      <c r="G660" s="62"/>
      <c r="H660" s="62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</row>
    <row r="661">
      <c r="A661" s="63"/>
      <c r="B661" s="63"/>
      <c r="C661" s="62"/>
      <c r="D661" s="62"/>
      <c r="E661" s="62"/>
      <c r="F661" s="62"/>
      <c r="G661" s="62"/>
      <c r="H661" s="62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</row>
    <row r="662">
      <c r="A662" s="63"/>
      <c r="B662" s="63"/>
      <c r="C662" s="62"/>
      <c r="D662" s="62"/>
      <c r="E662" s="62"/>
      <c r="F662" s="62"/>
      <c r="G662" s="62"/>
      <c r="H662" s="62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</row>
    <row r="663">
      <c r="A663" s="63"/>
      <c r="B663" s="63"/>
      <c r="C663" s="62"/>
      <c r="D663" s="62"/>
      <c r="E663" s="62"/>
      <c r="F663" s="62"/>
      <c r="G663" s="62"/>
      <c r="H663" s="62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</row>
    <row r="664">
      <c r="A664" s="63"/>
      <c r="B664" s="63"/>
      <c r="C664" s="62"/>
      <c r="D664" s="62"/>
      <c r="E664" s="62"/>
      <c r="F664" s="62"/>
      <c r="G664" s="62"/>
      <c r="H664" s="62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</row>
    <row r="665">
      <c r="A665" s="63"/>
      <c r="B665" s="63"/>
      <c r="C665" s="62"/>
      <c r="D665" s="62"/>
      <c r="E665" s="62"/>
      <c r="F665" s="62"/>
      <c r="G665" s="62"/>
      <c r="H665" s="62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</row>
    <row r="666">
      <c r="A666" s="63"/>
      <c r="B666" s="63"/>
      <c r="C666" s="62"/>
      <c r="D666" s="62"/>
      <c r="E666" s="62"/>
      <c r="F666" s="62"/>
      <c r="G666" s="62"/>
      <c r="H666" s="62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</row>
    <row r="667">
      <c r="A667" s="63"/>
      <c r="B667" s="63"/>
      <c r="C667" s="62"/>
      <c r="D667" s="62"/>
      <c r="E667" s="62"/>
      <c r="F667" s="62"/>
      <c r="G667" s="62"/>
      <c r="H667" s="62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</row>
    <row r="668">
      <c r="A668" s="63"/>
      <c r="B668" s="63"/>
      <c r="C668" s="62"/>
      <c r="D668" s="62"/>
      <c r="E668" s="62"/>
      <c r="F668" s="62"/>
      <c r="G668" s="62"/>
      <c r="H668" s="62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</row>
    <row r="669">
      <c r="A669" s="63"/>
      <c r="B669" s="63"/>
      <c r="C669" s="62"/>
      <c r="D669" s="62"/>
      <c r="E669" s="62"/>
      <c r="F669" s="62"/>
      <c r="G669" s="62"/>
      <c r="H669" s="62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</row>
    <row r="670">
      <c r="A670" s="63"/>
      <c r="B670" s="63"/>
      <c r="C670" s="62"/>
      <c r="D670" s="62"/>
      <c r="E670" s="62"/>
      <c r="F670" s="62"/>
      <c r="G670" s="62"/>
      <c r="H670" s="62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</row>
    <row r="671">
      <c r="A671" s="63"/>
      <c r="B671" s="63"/>
      <c r="C671" s="62"/>
      <c r="D671" s="62"/>
      <c r="E671" s="62"/>
      <c r="F671" s="62"/>
      <c r="G671" s="62"/>
      <c r="H671" s="62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</row>
    <row r="672">
      <c r="A672" s="63"/>
      <c r="B672" s="63"/>
      <c r="C672" s="62"/>
      <c r="D672" s="62"/>
      <c r="E672" s="62"/>
      <c r="F672" s="62"/>
      <c r="G672" s="62"/>
      <c r="H672" s="62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</row>
    <row r="673">
      <c r="A673" s="63"/>
      <c r="B673" s="63"/>
      <c r="C673" s="62"/>
      <c r="D673" s="62"/>
      <c r="E673" s="62"/>
      <c r="F673" s="62"/>
      <c r="G673" s="62"/>
      <c r="H673" s="62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</row>
    <row r="674">
      <c r="A674" s="63"/>
      <c r="B674" s="63"/>
      <c r="C674" s="62"/>
      <c r="D674" s="62"/>
      <c r="E674" s="62"/>
      <c r="F674" s="62"/>
      <c r="G674" s="62"/>
      <c r="H674" s="62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</row>
    <row r="675">
      <c r="A675" s="63"/>
      <c r="B675" s="63"/>
      <c r="C675" s="62"/>
      <c r="D675" s="62"/>
      <c r="E675" s="62"/>
      <c r="F675" s="62"/>
      <c r="G675" s="62"/>
      <c r="H675" s="62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</row>
    <row r="676">
      <c r="A676" s="63"/>
      <c r="B676" s="63"/>
      <c r="C676" s="62"/>
      <c r="D676" s="62"/>
      <c r="E676" s="62"/>
      <c r="F676" s="62"/>
      <c r="G676" s="62"/>
      <c r="H676" s="62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</row>
    <row r="677">
      <c r="A677" s="63"/>
      <c r="B677" s="63"/>
      <c r="C677" s="62"/>
      <c r="D677" s="62"/>
      <c r="E677" s="62"/>
      <c r="F677" s="62"/>
      <c r="G677" s="62"/>
      <c r="H677" s="62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</row>
    <row r="678">
      <c r="A678" s="63"/>
      <c r="B678" s="63"/>
      <c r="C678" s="62"/>
      <c r="D678" s="62"/>
      <c r="E678" s="62"/>
      <c r="F678" s="62"/>
      <c r="G678" s="62"/>
      <c r="H678" s="62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</row>
    <row r="679">
      <c r="A679" s="63"/>
      <c r="B679" s="63"/>
      <c r="C679" s="62"/>
      <c r="D679" s="62"/>
      <c r="E679" s="62"/>
      <c r="F679" s="62"/>
      <c r="G679" s="62"/>
      <c r="H679" s="62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</row>
    <row r="680">
      <c r="A680" s="63"/>
      <c r="B680" s="63"/>
      <c r="C680" s="62"/>
      <c r="D680" s="62"/>
      <c r="E680" s="62"/>
      <c r="F680" s="62"/>
      <c r="G680" s="62"/>
      <c r="H680" s="62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</row>
    <row r="681">
      <c r="A681" s="63"/>
      <c r="B681" s="63"/>
      <c r="C681" s="62"/>
      <c r="D681" s="62"/>
      <c r="E681" s="62"/>
      <c r="F681" s="62"/>
      <c r="G681" s="62"/>
      <c r="H681" s="62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</row>
    <row r="682">
      <c r="A682" s="63"/>
      <c r="B682" s="63"/>
      <c r="C682" s="62"/>
      <c r="D682" s="62"/>
      <c r="E682" s="62"/>
      <c r="F682" s="62"/>
      <c r="G682" s="62"/>
      <c r="H682" s="62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</row>
    <row r="683">
      <c r="A683" s="63"/>
      <c r="B683" s="63"/>
      <c r="C683" s="62"/>
      <c r="D683" s="62"/>
      <c r="E683" s="62"/>
      <c r="F683" s="62"/>
      <c r="G683" s="62"/>
      <c r="H683" s="62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</row>
    <row r="684">
      <c r="A684" s="63"/>
      <c r="B684" s="63"/>
      <c r="C684" s="62"/>
      <c r="D684" s="62"/>
      <c r="E684" s="62"/>
      <c r="F684" s="62"/>
      <c r="G684" s="62"/>
      <c r="H684" s="62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</row>
    <row r="685">
      <c r="A685" s="63"/>
      <c r="B685" s="63"/>
      <c r="C685" s="62"/>
      <c r="D685" s="62"/>
      <c r="E685" s="62"/>
      <c r="F685" s="62"/>
      <c r="G685" s="62"/>
      <c r="H685" s="62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</row>
    <row r="686">
      <c r="A686" s="63"/>
      <c r="B686" s="63"/>
      <c r="C686" s="62"/>
      <c r="D686" s="62"/>
      <c r="E686" s="62"/>
      <c r="F686" s="62"/>
      <c r="G686" s="62"/>
      <c r="H686" s="62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</row>
    <row r="687">
      <c r="A687" s="63"/>
      <c r="B687" s="63"/>
      <c r="C687" s="62"/>
      <c r="D687" s="62"/>
      <c r="E687" s="62"/>
      <c r="F687" s="62"/>
      <c r="G687" s="62"/>
      <c r="H687" s="62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</row>
    <row r="688">
      <c r="A688" s="63"/>
      <c r="B688" s="63"/>
      <c r="C688" s="62"/>
      <c r="D688" s="62"/>
      <c r="E688" s="62"/>
      <c r="F688" s="62"/>
      <c r="G688" s="62"/>
      <c r="H688" s="62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</row>
    <row r="689">
      <c r="A689" s="63"/>
      <c r="B689" s="63"/>
      <c r="C689" s="62"/>
      <c r="D689" s="62"/>
      <c r="E689" s="62"/>
      <c r="F689" s="62"/>
      <c r="G689" s="62"/>
      <c r="H689" s="62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</row>
    <row r="690">
      <c r="A690" s="63"/>
      <c r="B690" s="63"/>
      <c r="C690" s="62"/>
      <c r="D690" s="62"/>
      <c r="E690" s="62"/>
      <c r="F690" s="62"/>
      <c r="G690" s="62"/>
      <c r="H690" s="62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</row>
    <row r="691">
      <c r="A691" s="63"/>
      <c r="B691" s="63"/>
      <c r="C691" s="62"/>
      <c r="D691" s="62"/>
      <c r="E691" s="62"/>
      <c r="F691" s="62"/>
      <c r="G691" s="62"/>
      <c r="H691" s="62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</row>
    <row r="692">
      <c r="A692" s="63"/>
      <c r="B692" s="63"/>
      <c r="C692" s="62"/>
      <c r="D692" s="62"/>
      <c r="E692" s="62"/>
      <c r="F692" s="62"/>
      <c r="G692" s="62"/>
      <c r="H692" s="62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</row>
    <row r="693">
      <c r="A693" s="63"/>
      <c r="B693" s="63"/>
      <c r="C693" s="62"/>
      <c r="D693" s="62"/>
      <c r="E693" s="62"/>
      <c r="F693" s="62"/>
      <c r="G693" s="62"/>
      <c r="H693" s="62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</row>
    <row r="694">
      <c r="A694" s="63"/>
      <c r="B694" s="63"/>
      <c r="C694" s="62"/>
      <c r="D694" s="62"/>
      <c r="E694" s="62"/>
      <c r="F694" s="62"/>
      <c r="G694" s="62"/>
      <c r="H694" s="62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</row>
    <row r="695">
      <c r="A695" s="63"/>
      <c r="B695" s="63"/>
      <c r="C695" s="62"/>
      <c r="D695" s="62"/>
      <c r="E695" s="62"/>
      <c r="F695" s="62"/>
      <c r="G695" s="62"/>
      <c r="H695" s="62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</row>
    <row r="696">
      <c r="A696" s="63"/>
      <c r="B696" s="63"/>
      <c r="C696" s="62"/>
      <c r="D696" s="62"/>
      <c r="E696" s="62"/>
      <c r="F696" s="62"/>
      <c r="G696" s="62"/>
      <c r="H696" s="62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</row>
    <row r="697">
      <c r="A697" s="63"/>
      <c r="B697" s="63"/>
      <c r="C697" s="62"/>
      <c r="D697" s="62"/>
      <c r="E697" s="62"/>
      <c r="F697" s="62"/>
      <c r="G697" s="62"/>
      <c r="H697" s="62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</row>
    <row r="698">
      <c r="A698" s="63"/>
      <c r="B698" s="63"/>
      <c r="C698" s="62"/>
      <c r="D698" s="62"/>
      <c r="E698" s="62"/>
      <c r="F698" s="62"/>
      <c r="G698" s="62"/>
      <c r="H698" s="62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</row>
    <row r="699">
      <c r="A699" s="63"/>
      <c r="B699" s="63"/>
      <c r="C699" s="62"/>
      <c r="D699" s="62"/>
      <c r="E699" s="62"/>
      <c r="F699" s="62"/>
      <c r="G699" s="62"/>
      <c r="H699" s="62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</row>
    <row r="700">
      <c r="A700" s="63"/>
      <c r="B700" s="63"/>
      <c r="C700" s="62"/>
      <c r="D700" s="62"/>
      <c r="E700" s="62"/>
      <c r="F700" s="62"/>
      <c r="G700" s="62"/>
      <c r="H700" s="62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</row>
    <row r="701">
      <c r="A701" s="63"/>
      <c r="B701" s="63"/>
      <c r="C701" s="62"/>
      <c r="D701" s="62"/>
      <c r="E701" s="62"/>
      <c r="F701" s="62"/>
      <c r="G701" s="62"/>
      <c r="H701" s="62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</row>
    <row r="702">
      <c r="A702" s="63"/>
      <c r="B702" s="63"/>
      <c r="C702" s="62"/>
      <c r="D702" s="62"/>
      <c r="E702" s="62"/>
      <c r="F702" s="62"/>
      <c r="G702" s="62"/>
      <c r="H702" s="62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</row>
    <row r="703">
      <c r="A703" s="63"/>
      <c r="B703" s="63"/>
      <c r="C703" s="62"/>
      <c r="D703" s="62"/>
      <c r="E703" s="62"/>
      <c r="F703" s="62"/>
      <c r="G703" s="62"/>
      <c r="H703" s="62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</row>
    <row r="704">
      <c r="A704" s="63"/>
      <c r="B704" s="63"/>
      <c r="C704" s="62"/>
      <c r="D704" s="62"/>
      <c r="E704" s="62"/>
      <c r="F704" s="62"/>
      <c r="G704" s="62"/>
      <c r="H704" s="62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</row>
    <row r="705">
      <c r="A705" s="63"/>
      <c r="B705" s="63"/>
      <c r="C705" s="62"/>
      <c r="D705" s="62"/>
      <c r="E705" s="62"/>
      <c r="F705" s="62"/>
      <c r="G705" s="62"/>
      <c r="H705" s="62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</row>
    <row r="706">
      <c r="A706" s="63"/>
      <c r="B706" s="63"/>
      <c r="C706" s="62"/>
      <c r="D706" s="62"/>
      <c r="E706" s="62"/>
      <c r="F706" s="62"/>
      <c r="G706" s="62"/>
      <c r="H706" s="62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</row>
    <row r="707">
      <c r="A707" s="63"/>
      <c r="B707" s="63"/>
      <c r="C707" s="62"/>
      <c r="D707" s="62"/>
      <c r="E707" s="62"/>
      <c r="F707" s="62"/>
      <c r="G707" s="62"/>
      <c r="H707" s="62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</row>
    <row r="708">
      <c r="A708" s="63"/>
      <c r="B708" s="63"/>
      <c r="C708" s="62"/>
      <c r="D708" s="62"/>
      <c r="E708" s="62"/>
      <c r="F708" s="62"/>
      <c r="G708" s="62"/>
      <c r="H708" s="62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</row>
    <row r="709">
      <c r="A709" s="63"/>
      <c r="B709" s="63"/>
      <c r="C709" s="62"/>
      <c r="D709" s="62"/>
      <c r="E709" s="62"/>
      <c r="F709" s="62"/>
      <c r="G709" s="62"/>
      <c r="H709" s="62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</row>
    <row r="710">
      <c r="A710" s="63"/>
      <c r="B710" s="63"/>
      <c r="C710" s="62"/>
      <c r="D710" s="62"/>
      <c r="E710" s="62"/>
      <c r="F710" s="62"/>
      <c r="G710" s="62"/>
      <c r="H710" s="62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</row>
    <row r="711">
      <c r="A711" s="63"/>
      <c r="B711" s="63"/>
      <c r="C711" s="62"/>
      <c r="D711" s="62"/>
      <c r="E711" s="62"/>
      <c r="F711" s="62"/>
      <c r="G711" s="62"/>
      <c r="H711" s="62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</row>
    <row r="712">
      <c r="A712" s="63"/>
      <c r="B712" s="63"/>
      <c r="C712" s="62"/>
      <c r="D712" s="62"/>
      <c r="E712" s="62"/>
      <c r="F712" s="62"/>
      <c r="G712" s="62"/>
      <c r="H712" s="62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</row>
    <row r="713">
      <c r="A713" s="63"/>
      <c r="B713" s="63"/>
      <c r="C713" s="62"/>
      <c r="D713" s="62"/>
      <c r="E713" s="62"/>
      <c r="F713" s="62"/>
      <c r="G713" s="62"/>
      <c r="H713" s="62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</row>
    <row r="714">
      <c r="A714" s="63"/>
      <c r="B714" s="63"/>
      <c r="C714" s="62"/>
      <c r="D714" s="62"/>
      <c r="E714" s="62"/>
      <c r="F714" s="62"/>
      <c r="G714" s="62"/>
      <c r="H714" s="62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</row>
    <row r="715">
      <c r="A715" s="63"/>
      <c r="B715" s="63"/>
      <c r="C715" s="62"/>
      <c r="D715" s="62"/>
      <c r="E715" s="62"/>
      <c r="F715" s="62"/>
      <c r="G715" s="62"/>
      <c r="H715" s="62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</row>
    <row r="716">
      <c r="A716" s="63"/>
      <c r="B716" s="63"/>
      <c r="C716" s="62"/>
      <c r="D716" s="62"/>
      <c r="E716" s="62"/>
      <c r="F716" s="62"/>
      <c r="G716" s="62"/>
      <c r="H716" s="62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</row>
    <row r="717">
      <c r="A717" s="63"/>
      <c r="B717" s="63"/>
      <c r="C717" s="62"/>
      <c r="D717" s="62"/>
      <c r="E717" s="62"/>
      <c r="F717" s="62"/>
      <c r="G717" s="62"/>
      <c r="H717" s="62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</row>
    <row r="718">
      <c r="A718" s="63"/>
      <c r="B718" s="63"/>
      <c r="C718" s="62"/>
      <c r="D718" s="62"/>
      <c r="E718" s="62"/>
      <c r="F718" s="62"/>
      <c r="G718" s="62"/>
      <c r="H718" s="62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</row>
    <row r="719">
      <c r="A719" s="63"/>
      <c r="B719" s="63"/>
      <c r="C719" s="62"/>
      <c r="D719" s="62"/>
      <c r="E719" s="62"/>
      <c r="F719" s="62"/>
      <c r="G719" s="62"/>
      <c r="H719" s="62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</row>
    <row r="720">
      <c r="A720" s="63"/>
      <c r="B720" s="63"/>
      <c r="C720" s="62"/>
      <c r="D720" s="62"/>
      <c r="E720" s="62"/>
      <c r="F720" s="62"/>
      <c r="G720" s="62"/>
      <c r="H720" s="62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</row>
    <row r="721">
      <c r="A721" s="63"/>
      <c r="B721" s="63"/>
      <c r="C721" s="62"/>
      <c r="D721" s="62"/>
      <c r="E721" s="62"/>
      <c r="F721" s="62"/>
      <c r="G721" s="62"/>
      <c r="H721" s="62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</row>
    <row r="722">
      <c r="A722" s="63"/>
      <c r="B722" s="63"/>
      <c r="C722" s="62"/>
      <c r="D722" s="62"/>
      <c r="E722" s="62"/>
      <c r="F722" s="62"/>
      <c r="G722" s="62"/>
      <c r="H722" s="62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</row>
    <row r="723">
      <c r="A723" s="63"/>
      <c r="B723" s="63"/>
      <c r="C723" s="62"/>
      <c r="D723" s="62"/>
      <c r="E723" s="62"/>
      <c r="F723" s="62"/>
      <c r="G723" s="62"/>
      <c r="H723" s="62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</row>
    <row r="724">
      <c r="A724" s="63"/>
      <c r="B724" s="63"/>
      <c r="C724" s="62"/>
      <c r="D724" s="62"/>
      <c r="E724" s="62"/>
      <c r="F724" s="62"/>
      <c r="G724" s="62"/>
      <c r="H724" s="62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</row>
    <row r="725">
      <c r="A725" s="63"/>
      <c r="B725" s="63"/>
      <c r="C725" s="62"/>
      <c r="D725" s="62"/>
      <c r="E725" s="62"/>
      <c r="F725" s="62"/>
      <c r="G725" s="62"/>
      <c r="H725" s="62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</row>
    <row r="726">
      <c r="A726" s="63"/>
      <c r="B726" s="63"/>
      <c r="C726" s="62"/>
      <c r="D726" s="62"/>
      <c r="E726" s="62"/>
      <c r="F726" s="62"/>
      <c r="G726" s="62"/>
      <c r="H726" s="62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</row>
    <row r="727">
      <c r="A727" s="63"/>
      <c r="B727" s="63"/>
      <c r="C727" s="62"/>
      <c r="D727" s="62"/>
      <c r="E727" s="62"/>
      <c r="F727" s="62"/>
      <c r="G727" s="62"/>
      <c r="H727" s="62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</row>
    <row r="728">
      <c r="A728" s="63"/>
      <c r="B728" s="63"/>
      <c r="C728" s="62"/>
      <c r="D728" s="62"/>
      <c r="E728" s="62"/>
      <c r="F728" s="62"/>
      <c r="G728" s="62"/>
      <c r="H728" s="62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</row>
    <row r="729">
      <c r="A729" s="63"/>
      <c r="B729" s="63"/>
      <c r="C729" s="62"/>
      <c r="D729" s="62"/>
      <c r="E729" s="62"/>
      <c r="F729" s="62"/>
      <c r="G729" s="62"/>
      <c r="H729" s="62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</row>
    <row r="730">
      <c r="A730" s="63"/>
      <c r="B730" s="63"/>
      <c r="C730" s="62"/>
      <c r="D730" s="62"/>
      <c r="E730" s="62"/>
      <c r="F730" s="62"/>
      <c r="G730" s="62"/>
      <c r="H730" s="62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</row>
    <row r="731">
      <c r="A731" s="63"/>
      <c r="B731" s="63"/>
      <c r="C731" s="62"/>
      <c r="D731" s="62"/>
      <c r="E731" s="62"/>
      <c r="F731" s="62"/>
      <c r="G731" s="62"/>
      <c r="H731" s="62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</row>
    <row r="732">
      <c r="A732" s="63"/>
      <c r="B732" s="63"/>
      <c r="C732" s="62"/>
      <c r="D732" s="62"/>
      <c r="E732" s="62"/>
      <c r="F732" s="62"/>
      <c r="G732" s="62"/>
      <c r="H732" s="62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</row>
    <row r="733">
      <c r="A733" s="63"/>
      <c r="B733" s="63"/>
      <c r="C733" s="62"/>
      <c r="D733" s="62"/>
      <c r="E733" s="62"/>
      <c r="F733" s="62"/>
      <c r="G733" s="62"/>
      <c r="H733" s="62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</row>
    <row r="734">
      <c r="A734" s="63"/>
      <c r="B734" s="63"/>
      <c r="C734" s="62"/>
      <c r="D734" s="62"/>
      <c r="E734" s="62"/>
      <c r="F734" s="62"/>
      <c r="G734" s="62"/>
      <c r="H734" s="62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</row>
    <row r="735">
      <c r="A735" s="63"/>
      <c r="B735" s="63"/>
      <c r="C735" s="62"/>
      <c r="D735" s="62"/>
      <c r="E735" s="62"/>
      <c r="F735" s="62"/>
      <c r="G735" s="62"/>
      <c r="H735" s="62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</row>
    <row r="736">
      <c r="A736" s="63"/>
      <c r="B736" s="63"/>
      <c r="C736" s="62"/>
      <c r="D736" s="62"/>
      <c r="E736" s="62"/>
      <c r="F736" s="62"/>
      <c r="G736" s="62"/>
      <c r="H736" s="62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</row>
    <row r="737">
      <c r="A737" s="63"/>
      <c r="B737" s="63"/>
      <c r="C737" s="62"/>
      <c r="D737" s="62"/>
      <c r="E737" s="62"/>
      <c r="F737" s="62"/>
      <c r="G737" s="62"/>
      <c r="H737" s="62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</row>
    <row r="738">
      <c r="A738" s="63"/>
      <c r="B738" s="63"/>
      <c r="C738" s="62"/>
      <c r="D738" s="62"/>
      <c r="E738" s="62"/>
      <c r="F738" s="62"/>
      <c r="G738" s="62"/>
      <c r="H738" s="62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</row>
    <row r="739">
      <c r="A739" s="63"/>
      <c r="B739" s="63"/>
      <c r="C739" s="62"/>
      <c r="D739" s="62"/>
      <c r="E739" s="62"/>
      <c r="F739" s="62"/>
      <c r="G739" s="62"/>
      <c r="H739" s="62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</row>
    <row r="740">
      <c r="A740" s="63"/>
      <c r="B740" s="63"/>
      <c r="C740" s="62"/>
      <c r="D740" s="62"/>
      <c r="E740" s="62"/>
      <c r="F740" s="62"/>
      <c r="G740" s="62"/>
      <c r="H740" s="62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</row>
    <row r="741">
      <c r="A741" s="63"/>
      <c r="B741" s="63"/>
      <c r="C741" s="62"/>
      <c r="D741" s="62"/>
      <c r="E741" s="62"/>
      <c r="F741" s="62"/>
      <c r="G741" s="62"/>
      <c r="H741" s="62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</row>
    <row r="742">
      <c r="A742" s="63"/>
      <c r="B742" s="63"/>
      <c r="C742" s="62"/>
      <c r="D742" s="62"/>
      <c r="E742" s="62"/>
      <c r="F742" s="62"/>
      <c r="G742" s="62"/>
      <c r="H742" s="62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</row>
    <row r="743">
      <c r="A743" s="63"/>
      <c r="B743" s="63"/>
      <c r="C743" s="62"/>
      <c r="D743" s="62"/>
      <c r="E743" s="62"/>
      <c r="F743" s="62"/>
      <c r="G743" s="62"/>
      <c r="H743" s="62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</row>
    <row r="744">
      <c r="A744" s="63"/>
      <c r="B744" s="63"/>
      <c r="C744" s="62"/>
      <c r="D744" s="62"/>
      <c r="E744" s="62"/>
      <c r="F744" s="62"/>
      <c r="G744" s="62"/>
      <c r="H744" s="62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</row>
    <row r="745">
      <c r="A745" s="63"/>
      <c r="B745" s="63"/>
      <c r="C745" s="62"/>
      <c r="D745" s="62"/>
      <c r="E745" s="62"/>
      <c r="F745" s="62"/>
      <c r="G745" s="62"/>
      <c r="H745" s="62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</row>
    <row r="746">
      <c r="A746" s="63"/>
      <c r="B746" s="63"/>
      <c r="C746" s="62"/>
      <c r="D746" s="62"/>
      <c r="E746" s="62"/>
      <c r="F746" s="62"/>
      <c r="G746" s="62"/>
      <c r="H746" s="62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</row>
    <row r="747">
      <c r="A747" s="63"/>
      <c r="B747" s="63"/>
      <c r="C747" s="62"/>
      <c r="D747" s="62"/>
      <c r="E747" s="62"/>
      <c r="F747" s="62"/>
      <c r="G747" s="62"/>
      <c r="H747" s="62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</row>
    <row r="748">
      <c r="A748" s="63"/>
      <c r="B748" s="63"/>
      <c r="C748" s="62"/>
      <c r="D748" s="62"/>
      <c r="E748" s="62"/>
      <c r="F748" s="62"/>
      <c r="G748" s="62"/>
      <c r="H748" s="62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</row>
    <row r="749">
      <c r="A749" s="63"/>
      <c r="B749" s="63"/>
      <c r="C749" s="62"/>
      <c r="D749" s="62"/>
      <c r="E749" s="62"/>
      <c r="F749" s="62"/>
      <c r="G749" s="62"/>
      <c r="H749" s="62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</row>
    <row r="750">
      <c r="A750" s="63"/>
      <c r="B750" s="63"/>
      <c r="C750" s="62"/>
      <c r="D750" s="62"/>
      <c r="E750" s="62"/>
      <c r="F750" s="62"/>
      <c r="G750" s="62"/>
      <c r="H750" s="62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</row>
    <row r="751">
      <c r="A751" s="63"/>
      <c r="B751" s="63"/>
      <c r="C751" s="62"/>
      <c r="D751" s="62"/>
      <c r="E751" s="62"/>
      <c r="F751" s="62"/>
      <c r="G751" s="62"/>
      <c r="H751" s="62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</row>
    <row r="752">
      <c r="A752" s="63"/>
      <c r="B752" s="63"/>
      <c r="C752" s="62"/>
      <c r="D752" s="62"/>
      <c r="E752" s="62"/>
      <c r="F752" s="62"/>
      <c r="G752" s="62"/>
      <c r="H752" s="62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</row>
    <row r="753">
      <c r="A753" s="63"/>
      <c r="B753" s="63"/>
      <c r="C753" s="62"/>
      <c r="D753" s="62"/>
      <c r="E753" s="62"/>
      <c r="F753" s="62"/>
      <c r="G753" s="62"/>
      <c r="H753" s="62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</row>
    <row r="754">
      <c r="A754" s="63"/>
      <c r="B754" s="63"/>
      <c r="C754" s="62"/>
      <c r="D754" s="62"/>
      <c r="E754" s="62"/>
      <c r="F754" s="62"/>
      <c r="G754" s="62"/>
      <c r="H754" s="62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</row>
    <row r="755">
      <c r="A755" s="63"/>
      <c r="B755" s="63"/>
      <c r="C755" s="62"/>
      <c r="D755" s="62"/>
      <c r="E755" s="62"/>
      <c r="F755" s="62"/>
      <c r="G755" s="62"/>
      <c r="H755" s="62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</row>
    <row r="756">
      <c r="A756" s="63"/>
      <c r="B756" s="63"/>
      <c r="C756" s="62"/>
      <c r="D756" s="62"/>
      <c r="E756" s="62"/>
      <c r="F756" s="62"/>
      <c r="G756" s="62"/>
      <c r="H756" s="62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</row>
    <row r="757">
      <c r="A757" s="63"/>
      <c r="B757" s="63"/>
      <c r="C757" s="62"/>
      <c r="D757" s="62"/>
      <c r="E757" s="62"/>
      <c r="F757" s="62"/>
      <c r="G757" s="62"/>
      <c r="H757" s="62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</row>
    <row r="758">
      <c r="A758" s="63"/>
      <c r="B758" s="63"/>
      <c r="C758" s="62"/>
      <c r="D758" s="62"/>
      <c r="E758" s="62"/>
      <c r="F758" s="62"/>
      <c r="G758" s="62"/>
      <c r="H758" s="62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</row>
    <row r="759">
      <c r="A759" s="63"/>
      <c r="B759" s="63"/>
      <c r="C759" s="62"/>
      <c r="D759" s="62"/>
      <c r="E759" s="62"/>
      <c r="F759" s="62"/>
      <c r="G759" s="62"/>
      <c r="H759" s="62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</row>
    <row r="760">
      <c r="A760" s="63"/>
      <c r="B760" s="63"/>
      <c r="C760" s="62"/>
      <c r="D760" s="62"/>
      <c r="E760" s="62"/>
      <c r="F760" s="62"/>
      <c r="G760" s="62"/>
      <c r="H760" s="62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</row>
    <row r="761">
      <c r="A761" s="63"/>
      <c r="B761" s="63"/>
      <c r="C761" s="62"/>
      <c r="D761" s="62"/>
      <c r="E761" s="62"/>
      <c r="F761" s="62"/>
      <c r="G761" s="62"/>
      <c r="H761" s="62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</row>
    <row r="762">
      <c r="A762" s="63"/>
      <c r="B762" s="63"/>
      <c r="C762" s="62"/>
      <c r="D762" s="62"/>
      <c r="E762" s="62"/>
      <c r="F762" s="62"/>
      <c r="G762" s="62"/>
      <c r="H762" s="62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</row>
    <row r="763">
      <c r="A763" s="63"/>
      <c r="B763" s="63"/>
      <c r="C763" s="62"/>
      <c r="D763" s="62"/>
      <c r="E763" s="62"/>
      <c r="F763" s="62"/>
      <c r="G763" s="62"/>
      <c r="H763" s="62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</row>
    <row r="764">
      <c r="A764" s="63"/>
      <c r="B764" s="63"/>
      <c r="C764" s="62"/>
      <c r="D764" s="62"/>
      <c r="E764" s="62"/>
      <c r="F764" s="62"/>
      <c r="G764" s="62"/>
      <c r="H764" s="62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</row>
    <row r="765">
      <c r="A765" s="63"/>
      <c r="B765" s="63"/>
      <c r="C765" s="62"/>
      <c r="D765" s="62"/>
      <c r="E765" s="62"/>
      <c r="F765" s="62"/>
      <c r="G765" s="62"/>
      <c r="H765" s="62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</row>
    <row r="766">
      <c r="A766" s="63"/>
      <c r="B766" s="63"/>
      <c r="C766" s="62"/>
      <c r="D766" s="62"/>
      <c r="E766" s="62"/>
      <c r="F766" s="62"/>
      <c r="G766" s="62"/>
      <c r="H766" s="62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</row>
    <row r="767">
      <c r="A767" s="63"/>
      <c r="B767" s="63"/>
      <c r="C767" s="62"/>
      <c r="D767" s="62"/>
      <c r="E767" s="62"/>
      <c r="F767" s="62"/>
      <c r="G767" s="62"/>
      <c r="H767" s="62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</row>
    <row r="768">
      <c r="A768" s="63"/>
      <c r="B768" s="63"/>
      <c r="C768" s="62"/>
      <c r="D768" s="62"/>
      <c r="E768" s="62"/>
      <c r="F768" s="62"/>
      <c r="G768" s="62"/>
      <c r="H768" s="62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</row>
    <row r="769">
      <c r="A769" s="63"/>
      <c r="B769" s="63"/>
      <c r="C769" s="62"/>
      <c r="D769" s="62"/>
      <c r="E769" s="62"/>
      <c r="F769" s="62"/>
      <c r="G769" s="62"/>
      <c r="H769" s="62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</row>
    <row r="770">
      <c r="A770" s="63"/>
      <c r="B770" s="63"/>
      <c r="C770" s="62"/>
      <c r="D770" s="62"/>
      <c r="E770" s="62"/>
      <c r="F770" s="62"/>
      <c r="G770" s="62"/>
      <c r="H770" s="62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</row>
    <row r="771">
      <c r="A771" s="63"/>
      <c r="B771" s="63"/>
      <c r="C771" s="62"/>
      <c r="D771" s="62"/>
      <c r="E771" s="62"/>
      <c r="F771" s="62"/>
      <c r="G771" s="62"/>
      <c r="H771" s="62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</row>
    <row r="772">
      <c r="A772" s="63"/>
      <c r="B772" s="63"/>
      <c r="C772" s="62"/>
      <c r="D772" s="62"/>
      <c r="E772" s="62"/>
      <c r="F772" s="62"/>
      <c r="G772" s="62"/>
      <c r="H772" s="62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</row>
    <row r="773">
      <c r="A773" s="63"/>
      <c r="B773" s="63"/>
      <c r="C773" s="62"/>
      <c r="D773" s="62"/>
      <c r="E773" s="62"/>
      <c r="F773" s="62"/>
      <c r="G773" s="62"/>
      <c r="H773" s="62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</row>
    <row r="774">
      <c r="A774" s="63"/>
      <c r="B774" s="63"/>
      <c r="C774" s="62"/>
      <c r="D774" s="62"/>
      <c r="E774" s="62"/>
      <c r="F774" s="62"/>
      <c r="G774" s="62"/>
      <c r="H774" s="62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</row>
    <row r="775">
      <c r="A775" s="63"/>
      <c r="B775" s="63"/>
      <c r="C775" s="62"/>
      <c r="D775" s="62"/>
      <c r="E775" s="62"/>
      <c r="F775" s="62"/>
      <c r="G775" s="62"/>
      <c r="H775" s="62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</row>
    <row r="776">
      <c r="A776" s="63"/>
      <c r="B776" s="63"/>
      <c r="C776" s="62"/>
      <c r="D776" s="62"/>
      <c r="E776" s="62"/>
      <c r="F776" s="62"/>
      <c r="G776" s="62"/>
      <c r="H776" s="62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</row>
    <row r="777">
      <c r="A777" s="63"/>
      <c r="B777" s="63"/>
      <c r="C777" s="62"/>
      <c r="D777" s="62"/>
      <c r="E777" s="62"/>
      <c r="F777" s="62"/>
      <c r="G777" s="62"/>
      <c r="H777" s="62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</row>
    <row r="778">
      <c r="A778" s="63"/>
      <c r="B778" s="63"/>
      <c r="C778" s="62"/>
      <c r="D778" s="62"/>
      <c r="E778" s="62"/>
      <c r="F778" s="62"/>
      <c r="G778" s="62"/>
      <c r="H778" s="62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</row>
    <row r="779">
      <c r="A779" s="63"/>
      <c r="B779" s="63"/>
      <c r="C779" s="62"/>
      <c r="D779" s="62"/>
      <c r="E779" s="62"/>
      <c r="F779" s="62"/>
      <c r="G779" s="62"/>
      <c r="H779" s="62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</row>
    <row r="780">
      <c r="A780" s="63"/>
      <c r="B780" s="63"/>
      <c r="C780" s="62"/>
      <c r="D780" s="62"/>
      <c r="E780" s="62"/>
      <c r="F780" s="62"/>
      <c r="G780" s="62"/>
      <c r="H780" s="62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</row>
    <row r="781">
      <c r="A781" s="63"/>
      <c r="B781" s="63"/>
      <c r="C781" s="62"/>
      <c r="D781" s="62"/>
      <c r="E781" s="62"/>
      <c r="F781" s="62"/>
      <c r="G781" s="62"/>
      <c r="H781" s="62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</row>
    <row r="782">
      <c r="A782" s="63"/>
      <c r="B782" s="63"/>
      <c r="C782" s="62"/>
      <c r="D782" s="62"/>
      <c r="E782" s="62"/>
      <c r="F782" s="62"/>
      <c r="G782" s="62"/>
      <c r="H782" s="62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</row>
    <row r="783">
      <c r="A783" s="63"/>
      <c r="B783" s="63"/>
      <c r="C783" s="62"/>
      <c r="D783" s="62"/>
      <c r="E783" s="62"/>
      <c r="F783" s="62"/>
      <c r="G783" s="62"/>
      <c r="H783" s="62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</row>
    <row r="784">
      <c r="A784" s="63"/>
      <c r="B784" s="63"/>
      <c r="C784" s="62"/>
      <c r="D784" s="62"/>
      <c r="E784" s="62"/>
      <c r="F784" s="62"/>
      <c r="G784" s="62"/>
      <c r="H784" s="62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</row>
    <row r="785">
      <c r="A785" s="63"/>
      <c r="B785" s="63"/>
      <c r="C785" s="62"/>
      <c r="D785" s="62"/>
      <c r="E785" s="62"/>
      <c r="F785" s="62"/>
      <c r="G785" s="62"/>
      <c r="H785" s="62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</row>
    <row r="786">
      <c r="A786" s="63"/>
      <c r="B786" s="63"/>
      <c r="C786" s="62"/>
      <c r="D786" s="62"/>
      <c r="E786" s="62"/>
      <c r="F786" s="62"/>
      <c r="G786" s="62"/>
      <c r="H786" s="62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</row>
    <row r="787">
      <c r="A787" s="63"/>
      <c r="B787" s="63"/>
      <c r="C787" s="62"/>
      <c r="D787" s="62"/>
      <c r="E787" s="62"/>
      <c r="F787" s="62"/>
      <c r="G787" s="62"/>
      <c r="H787" s="62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</row>
    <row r="788">
      <c r="A788" s="63"/>
      <c r="B788" s="63"/>
      <c r="C788" s="62"/>
      <c r="D788" s="62"/>
      <c r="E788" s="62"/>
      <c r="F788" s="62"/>
      <c r="G788" s="62"/>
      <c r="H788" s="62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</row>
    <row r="789">
      <c r="A789" s="63"/>
      <c r="B789" s="63"/>
      <c r="C789" s="62"/>
      <c r="D789" s="62"/>
      <c r="E789" s="62"/>
      <c r="F789" s="62"/>
      <c r="G789" s="62"/>
      <c r="H789" s="62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</row>
    <row r="790">
      <c r="A790" s="63"/>
      <c r="B790" s="63"/>
      <c r="C790" s="62"/>
      <c r="D790" s="62"/>
      <c r="E790" s="62"/>
      <c r="F790" s="62"/>
      <c r="G790" s="62"/>
      <c r="H790" s="62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</row>
    <row r="791">
      <c r="A791" s="63"/>
      <c r="B791" s="63"/>
      <c r="C791" s="62"/>
      <c r="D791" s="62"/>
      <c r="E791" s="62"/>
      <c r="F791" s="62"/>
      <c r="G791" s="62"/>
      <c r="H791" s="62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</row>
    <row r="792">
      <c r="A792" s="63"/>
      <c r="B792" s="63"/>
      <c r="C792" s="62"/>
      <c r="D792" s="62"/>
      <c r="E792" s="62"/>
      <c r="F792" s="62"/>
      <c r="G792" s="62"/>
      <c r="H792" s="62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</row>
    <row r="793">
      <c r="A793" s="63"/>
      <c r="B793" s="63"/>
      <c r="C793" s="62"/>
      <c r="D793" s="62"/>
      <c r="E793" s="62"/>
      <c r="F793" s="62"/>
      <c r="G793" s="62"/>
      <c r="H793" s="62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</row>
    <row r="794">
      <c r="A794" s="63"/>
      <c r="B794" s="63"/>
      <c r="C794" s="62"/>
      <c r="D794" s="62"/>
      <c r="E794" s="62"/>
      <c r="F794" s="62"/>
      <c r="G794" s="62"/>
      <c r="H794" s="62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</row>
    <row r="795">
      <c r="A795" s="63"/>
      <c r="B795" s="63"/>
      <c r="C795" s="62"/>
      <c r="D795" s="62"/>
      <c r="E795" s="62"/>
      <c r="F795" s="62"/>
      <c r="G795" s="62"/>
      <c r="H795" s="62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</row>
    <row r="796">
      <c r="A796" s="63"/>
      <c r="B796" s="63"/>
      <c r="C796" s="62"/>
      <c r="D796" s="62"/>
      <c r="E796" s="62"/>
      <c r="F796" s="62"/>
      <c r="G796" s="62"/>
      <c r="H796" s="62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</row>
    <row r="797">
      <c r="A797" s="63"/>
      <c r="B797" s="63"/>
      <c r="C797" s="62"/>
      <c r="D797" s="62"/>
      <c r="E797" s="62"/>
      <c r="F797" s="62"/>
      <c r="G797" s="62"/>
      <c r="H797" s="62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</row>
    <row r="798">
      <c r="A798" s="63"/>
      <c r="B798" s="63"/>
      <c r="C798" s="62"/>
      <c r="D798" s="62"/>
      <c r="E798" s="62"/>
      <c r="F798" s="62"/>
      <c r="G798" s="62"/>
      <c r="H798" s="62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</row>
    <row r="799">
      <c r="A799" s="63"/>
      <c r="B799" s="63"/>
      <c r="C799" s="62"/>
      <c r="D799" s="62"/>
      <c r="E799" s="62"/>
      <c r="F799" s="62"/>
      <c r="G799" s="62"/>
      <c r="H799" s="62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</row>
    <row r="800">
      <c r="A800" s="63"/>
      <c r="B800" s="63"/>
      <c r="C800" s="62"/>
      <c r="D800" s="62"/>
      <c r="E800" s="62"/>
      <c r="F800" s="62"/>
      <c r="G800" s="62"/>
      <c r="H800" s="62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</row>
    <row r="801">
      <c r="A801" s="63"/>
      <c r="B801" s="63"/>
      <c r="C801" s="62"/>
      <c r="D801" s="62"/>
      <c r="E801" s="62"/>
      <c r="F801" s="62"/>
      <c r="G801" s="62"/>
      <c r="H801" s="62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</row>
    <row r="802">
      <c r="A802" s="63"/>
      <c r="B802" s="63"/>
      <c r="C802" s="62"/>
      <c r="D802" s="62"/>
      <c r="E802" s="62"/>
      <c r="F802" s="62"/>
      <c r="G802" s="62"/>
      <c r="H802" s="62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</row>
    <row r="803">
      <c r="A803" s="63"/>
      <c r="B803" s="63"/>
      <c r="C803" s="62"/>
      <c r="D803" s="62"/>
      <c r="E803" s="62"/>
      <c r="F803" s="62"/>
      <c r="G803" s="62"/>
      <c r="H803" s="62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</row>
    <row r="804">
      <c r="A804" s="63"/>
      <c r="B804" s="63"/>
      <c r="C804" s="62"/>
      <c r="D804" s="62"/>
      <c r="E804" s="62"/>
      <c r="F804" s="62"/>
      <c r="G804" s="62"/>
      <c r="H804" s="62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</row>
    <row r="805">
      <c r="A805" s="63"/>
      <c r="B805" s="63"/>
      <c r="C805" s="62"/>
      <c r="D805" s="62"/>
      <c r="E805" s="62"/>
      <c r="F805" s="62"/>
      <c r="G805" s="62"/>
      <c r="H805" s="62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</row>
    <row r="806">
      <c r="A806" s="63"/>
      <c r="B806" s="63"/>
      <c r="C806" s="62"/>
      <c r="D806" s="62"/>
      <c r="E806" s="62"/>
      <c r="F806" s="62"/>
      <c r="G806" s="62"/>
      <c r="H806" s="62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</row>
    <row r="807">
      <c r="A807" s="63"/>
      <c r="B807" s="63"/>
      <c r="C807" s="62"/>
      <c r="D807" s="62"/>
      <c r="E807" s="62"/>
      <c r="F807" s="62"/>
      <c r="G807" s="62"/>
      <c r="H807" s="62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</row>
    <row r="808">
      <c r="A808" s="63"/>
      <c r="B808" s="63"/>
      <c r="C808" s="62"/>
      <c r="D808" s="62"/>
      <c r="E808" s="62"/>
      <c r="F808" s="62"/>
      <c r="G808" s="62"/>
      <c r="H808" s="62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</row>
    <row r="809">
      <c r="A809" s="63"/>
      <c r="B809" s="63"/>
      <c r="C809" s="62"/>
      <c r="D809" s="62"/>
      <c r="E809" s="62"/>
      <c r="F809" s="62"/>
      <c r="G809" s="62"/>
      <c r="H809" s="62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</row>
    <row r="810">
      <c r="A810" s="63"/>
      <c r="B810" s="63"/>
      <c r="C810" s="62"/>
      <c r="D810" s="62"/>
      <c r="E810" s="62"/>
      <c r="F810" s="62"/>
      <c r="G810" s="62"/>
      <c r="H810" s="62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</row>
    <row r="811">
      <c r="A811" s="63"/>
      <c r="B811" s="63"/>
      <c r="C811" s="62"/>
      <c r="D811" s="62"/>
      <c r="E811" s="62"/>
      <c r="F811" s="62"/>
      <c r="G811" s="62"/>
      <c r="H811" s="62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</row>
    <row r="812">
      <c r="A812" s="63"/>
      <c r="B812" s="63"/>
      <c r="C812" s="62"/>
      <c r="D812" s="62"/>
      <c r="E812" s="62"/>
      <c r="F812" s="62"/>
      <c r="G812" s="62"/>
      <c r="H812" s="62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</row>
    <row r="813">
      <c r="A813" s="63"/>
      <c r="B813" s="63"/>
      <c r="C813" s="62"/>
      <c r="D813" s="62"/>
      <c r="E813" s="62"/>
      <c r="F813" s="62"/>
      <c r="G813" s="62"/>
      <c r="H813" s="62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</row>
    <row r="814">
      <c r="A814" s="63"/>
      <c r="B814" s="63"/>
      <c r="C814" s="62"/>
      <c r="D814" s="62"/>
      <c r="E814" s="62"/>
      <c r="F814" s="62"/>
      <c r="G814" s="62"/>
      <c r="H814" s="62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</row>
    <row r="815">
      <c r="A815" s="63"/>
      <c r="B815" s="63"/>
      <c r="C815" s="62"/>
      <c r="D815" s="62"/>
      <c r="E815" s="62"/>
      <c r="F815" s="62"/>
      <c r="G815" s="62"/>
      <c r="H815" s="62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</row>
    <row r="816">
      <c r="A816" s="63"/>
      <c r="B816" s="63"/>
      <c r="C816" s="62"/>
      <c r="D816" s="62"/>
      <c r="E816" s="62"/>
      <c r="F816" s="62"/>
      <c r="G816" s="62"/>
      <c r="H816" s="62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</row>
    <row r="817">
      <c r="A817" s="63"/>
      <c r="B817" s="63"/>
      <c r="C817" s="62"/>
      <c r="D817" s="62"/>
      <c r="E817" s="62"/>
      <c r="F817" s="62"/>
      <c r="G817" s="62"/>
      <c r="H817" s="62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</row>
    <row r="818">
      <c r="A818" s="63"/>
      <c r="B818" s="63"/>
      <c r="C818" s="62"/>
      <c r="D818" s="62"/>
      <c r="E818" s="62"/>
      <c r="F818" s="62"/>
      <c r="G818" s="62"/>
      <c r="H818" s="62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</row>
    <row r="819">
      <c r="A819" s="63"/>
      <c r="B819" s="63"/>
      <c r="C819" s="62"/>
      <c r="D819" s="62"/>
      <c r="E819" s="62"/>
      <c r="F819" s="62"/>
      <c r="G819" s="62"/>
      <c r="H819" s="62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</row>
    <row r="820">
      <c r="A820" s="63"/>
      <c r="B820" s="63"/>
      <c r="C820" s="62"/>
      <c r="D820" s="62"/>
      <c r="E820" s="62"/>
      <c r="F820" s="62"/>
      <c r="G820" s="62"/>
      <c r="H820" s="62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</row>
    <row r="821">
      <c r="A821" s="63"/>
      <c r="B821" s="63"/>
      <c r="C821" s="62"/>
      <c r="D821" s="62"/>
      <c r="E821" s="62"/>
      <c r="F821" s="62"/>
      <c r="G821" s="62"/>
      <c r="H821" s="62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</row>
    <row r="822">
      <c r="A822" s="63"/>
      <c r="B822" s="63"/>
      <c r="C822" s="62"/>
      <c r="D822" s="62"/>
      <c r="E822" s="62"/>
      <c r="F822" s="62"/>
      <c r="G822" s="62"/>
      <c r="H822" s="62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</row>
    <row r="823">
      <c r="A823" s="63"/>
      <c r="B823" s="63"/>
      <c r="C823" s="62"/>
      <c r="D823" s="62"/>
      <c r="E823" s="62"/>
      <c r="F823" s="62"/>
      <c r="G823" s="62"/>
      <c r="H823" s="62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</row>
    <row r="824">
      <c r="A824" s="63"/>
      <c r="B824" s="63"/>
      <c r="C824" s="62"/>
      <c r="D824" s="62"/>
      <c r="E824" s="62"/>
      <c r="F824" s="62"/>
      <c r="G824" s="62"/>
      <c r="H824" s="62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</row>
    <row r="825">
      <c r="A825" s="63"/>
      <c r="B825" s="63"/>
      <c r="C825" s="62"/>
      <c r="D825" s="62"/>
      <c r="E825" s="62"/>
      <c r="F825" s="62"/>
      <c r="G825" s="62"/>
      <c r="H825" s="62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</row>
    <row r="826">
      <c r="A826" s="63"/>
      <c r="B826" s="63"/>
      <c r="C826" s="62"/>
      <c r="D826" s="62"/>
      <c r="E826" s="62"/>
      <c r="F826" s="62"/>
      <c r="G826" s="62"/>
      <c r="H826" s="62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</row>
    <row r="827">
      <c r="A827" s="63"/>
      <c r="B827" s="63"/>
      <c r="C827" s="62"/>
      <c r="D827" s="62"/>
      <c r="E827" s="62"/>
      <c r="F827" s="62"/>
      <c r="G827" s="62"/>
      <c r="H827" s="62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</row>
    <row r="828">
      <c r="A828" s="63"/>
      <c r="B828" s="63"/>
      <c r="C828" s="62"/>
      <c r="D828" s="62"/>
      <c r="E828" s="62"/>
      <c r="F828" s="62"/>
      <c r="G828" s="62"/>
      <c r="H828" s="62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</row>
    <row r="829">
      <c r="A829" s="63"/>
      <c r="B829" s="63"/>
      <c r="C829" s="62"/>
      <c r="D829" s="62"/>
      <c r="E829" s="62"/>
      <c r="F829" s="62"/>
      <c r="G829" s="62"/>
      <c r="H829" s="62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</row>
    <row r="830">
      <c r="A830" s="63"/>
      <c r="B830" s="63"/>
      <c r="C830" s="62"/>
      <c r="D830" s="62"/>
      <c r="E830" s="62"/>
      <c r="F830" s="62"/>
      <c r="G830" s="62"/>
      <c r="H830" s="62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</row>
    <row r="831">
      <c r="A831" s="63"/>
      <c r="B831" s="63"/>
      <c r="C831" s="62"/>
      <c r="D831" s="62"/>
      <c r="E831" s="62"/>
      <c r="F831" s="62"/>
      <c r="G831" s="62"/>
      <c r="H831" s="62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</row>
    <row r="832">
      <c r="A832" s="63"/>
      <c r="B832" s="63"/>
      <c r="C832" s="62"/>
      <c r="D832" s="62"/>
      <c r="E832" s="62"/>
      <c r="F832" s="62"/>
      <c r="G832" s="62"/>
      <c r="H832" s="62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</row>
    <row r="833">
      <c r="A833" s="63"/>
      <c r="B833" s="63"/>
      <c r="C833" s="62"/>
      <c r="D833" s="62"/>
      <c r="E833" s="62"/>
      <c r="F833" s="62"/>
      <c r="G833" s="62"/>
      <c r="H833" s="62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</row>
    <row r="834">
      <c r="A834" s="63"/>
      <c r="B834" s="63"/>
      <c r="C834" s="62"/>
      <c r="D834" s="62"/>
      <c r="E834" s="62"/>
      <c r="F834" s="62"/>
      <c r="G834" s="62"/>
      <c r="H834" s="62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</row>
    <row r="835">
      <c r="A835" s="63"/>
      <c r="B835" s="63"/>
      <c r="C835" s="62"/>
      <c r="D835" s="62"/>
      <c r="E835" s="62"/>
      <c r="F835" s="62"/>
      <c r="G835" s="62"/>
      <c r="H835" s="62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</row>
    <row r="836">
      <c r="A836" s="63"/>
      <c r="B836" s="63"/>
      <c r="C836" s="62"/>
      <c r="D836" s="62"/>
      <c r="E836" s="62"/>
      <c r="F836" s="62"/>
      <c r="G836" s="62"/>
      <c r="H836" s="62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</row>
    <row r="837">
      <c r="A837" s="63"/>
      <c r="B837" s="63"/>
      <c r="C837" s="62"/>
      <c r="D837" s="62"/>
      <c r="E837" s="62"/>
      <c r="F837" s="62"/>
      <c r="G837" s="62"/>
      <c r="H837" s="62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</row>
    <row r="838">
      <c r="A838" s="63"/>
      <c r="B838" s="63"/>
      <c r="C838" s="62"/>
      <c r="D838" s="62"/>
      <c r="E838" s="62"/>
      <c r="F838" s="62"/>
      <c r="G838" s="62"/>
      <c r="H838" s="62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</row>
    <row r="839">
      <c r="A839" s="63"/>
      <c r="B839" s="63"/>
      <c r="C839" s="62"/>
      <c r="D839" s="62"/>
      <c r="E839" s="62"/>
      <c r="F839" s="62"/>
      <c r="G839" s="62"/>
      <c r="H839" s="62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</row>
    <row r="840">
      <c r="A840" s="63"/>
      <c r="B840" s="63"/>
      <c r="C840" s="62"/>
      <c r="D840" s="62"/>
      <c r="E840" s="62"/>
      <c r="F840" s="62"/>
      <c r="G840" s="62"/>
      <c r="H840" s="62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</row>
    <row r="841">
      <c r="A841" s="63"/>
      <c r="B841" s="63"/>
      <c r="C841" s="62"/>
      <c r="D841" s="62"/>
      <c r="E841" s="62"/>
      <c r="F841" s="62"/>
      <c r="G841" s="62"/>
      <c r="H841" s="62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</row>
    <row r="842">
      <c r="A842" s="63"/>
      <c r="B842" s="63"/>
      <c r="C842" s="62"/>
      <c r="D842" s="62"/>
      <c r="E842" s="62"/>
      <c r="F842" s="62"/>
      <c r="G842" s="62"/>
      <c r="H842" s="62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</row>
    <row r="843">
      <c r="A843" s="63"/>
      <c r="B843" s="63"/>
      <c r="C843" s="62"/>
      <c r="D843" s="62"/>
      <c r="E843" s="62"/>
      <c r="F843" s="62"/>
      <c r="G843" s="62"/>
      <c r="H843" s="62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</row>
    <row r="844">
      <c r="A844" s="63"/>
      <c r="B844" s="63"/>
      <c r="C844" s="62"/>
      <c r="D844" s="62"/>
      <c r="E844" s="62"/>
      <c r="F844" s="62"/>
      <c r="G844" s="62"/>
      <c r="H844" s="62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</row>
    <row r="845">
      <c r="A845" s="63"/>
      <c r="B845" s="63"/>
      <c r="C845" s="62"/>
      <c r="D845" s="62"/>
      <c r="E845" s="62"/>
      <c r="F845" s="62"/>
      <c r="G845" s="62"/>
      <c r="H845" s="62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</row>
    <row r="846">
      <c r="A846" s="63"/>
      <c r="B846" s="63"/>
      <c r="C846" s="62"/>
      <c r="D846" s="62"/>
      <c r="E846" s="62"/>
      <c r="F846" s="62"/>
      <c r="G846" s="62"/>
      <c r="H846" s="62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</row>
    <row r="847">
      <c r="A847" s="63"/>
      <c r="B847" s="63"/>
      <c r="C847" s="62"/>
      <c r="D847" s="62"/>
      <c r="E847" s="62"/>
      <c r="F847" s="62"/>
      <c r="G847" s="62"/>
      <c r="H847" s="62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</row>
    <row r="848">
      <c r="A848" s="63"/>
      <c r="B848" s="63"/>
      <c r="C848" s="62"/>
      <c r="D848" s="62"/>
      <c r="E848" s="62"/>
      <c r="F848" s="62"/>
      <c r="G848" s="62"/>
      <c r="H848" s="62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</row>
    <row r="849">
      <c r="A849" s="63"/>
      <c r="B849" s="63"/>
      <c r="C849" s="62"/>
      <c r="D849" s="62"/>
      <c r="E849" s="62"/>
      <c r="F849" s="62"/>
      <c r="G849" s="62"/>
      <c r="H849" s="62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</row>
    <row r="850">
      <c r="A850" s="63"/>
      <c r="B850" s="63"/>
      <c r="C850" s="62"/>
      <c r="D850" s="62"/>
      <c r="E850" s="62"/>
      <c r="F850" s="62"/>
      <c r="G850" s="62"/>
      <c r="H850" s="62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</row>
    <row r="851">
      <c r="A851" s="63"/>
      <c r="B851" s="63"/>
      <c r="C851" s="62"/>
      <c r="D851" s="62"/>
      <c r="E851" s="62"/>
      <c r="F851" s="62"/>
      <c r="G851" s="62"/>
      <c r="H851" s="62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</row>
    <row r="852">
      <c r="A852" s="63"/>
      <c r="B852" s="63"/>
      <c r="C852" s="62"/>
      <c r="D852" s="62"/>
      <c r="E852" s="62"/>
      <c r="F852" s="62"/>
      <c r="G852" s="62"/>
      <c r="H852" s="62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</row>
    <row r="853">
      <c r="A853" s="63"/>
      <c r="B853" s="63"/>
      <c r="C853" s="62"/>
      <c r="D853" s="62"/>
      <c r="E853" s="62"/>
      <c r="F853" s="62"/>
      <c r="G853" s="62"/>
      <c r="H853" s="62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</row>
    <row r="854">
      <c r="A854" s="63"/>
      <c r="B854" s="63"/>
      <c r="C854" s="62"/>
      <c r="D854" s="62"/>
      <c r="E854" s="62"/>
      <c r="F854" s="62"/>
      <c r="G854" s="62"/>
      <c r="H854" s="62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</row>
    <row r="855">
      <c r="A855" s="63"/>
      <c r="B855" s="63"/>
      <c r="C855" s="62"/>
      <c r="D855" s="62"/>
      <c r="E855" s="62"/>
      <c r="F855" s="62"/>
      <c r="G855" s="62"/>
      <c r="H855" s="62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</row>
    <row r="856">
      <c r="A856" s="63"/>
      <c r="B856" s="63"/>
      <c r="C856" s="62"/>
      <c r="D856" s="62"/>
      <c r="E856" s="62"/>
      <c r="F856" s="62"/>
      <c r="G856" s="62"/>
      <c r="H856" s="62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</row>
    <row r="857">
      <c r="A857" s="63"/>
      <c r="B857" s="63"/>
      <c r="C857" s="62"/>
      <c r="D857" s="62"/>
      <c r="E857" s="62"/>
      <c r="F857" s="62"/>
      <c r="G857" s="62"/>
      <c r="H857" s="62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</row>
    <row r="858">
      <c r="A858" s="63"/>
      <c r="B858" s="63"/>
      <c r="C858" s="62"/>
      <c r="D858" s="62"/>
      <c r="E858" s="62"/>
      <c r="F858" s="62"/>
      <c r="G858" s="62"/>
      <c r="H858" s="62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</row>
    <row r="859">
      <c r="A859" s="63"/>
      <c r="B859" s="63"/>
      <c r="C859" s="62"/>
      <c r="D859" s="62"/>
      <c r="E859" s="62"/>
      <c r="F859" s="62"/>
      <c r="G859" s="62"/>
      <c r="H859" s="62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</row>
    <row r="860">
      <c r="A860" s="63"/>
      <c r="B860" s="63"/>
      <c r="C860" s="62"/>
      <c r="D860" s="62"/>
      <c r="E860" s="62"/>
      <c r="F860" s="62"/>
      <c r="G860" s="62"/>
      <c r="H860" s="62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</row>
    <row r="861">
      <c r="A861" s="63"/>
      <c r="B861" s="63"/>
      <c r="C861" s="62"/>
      <c r="D861" s="62"/>
      <c r="E861" s="62"/>
      <c r="F861" s="62"/>
      <c r="G861" s="62"/>
      <c r="H861" s="62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</row>
    <row r="862">
      <c r="A862" s="63"/>
      <c r="B862" s="63"/>
      <c r="C862" s="62"/>
      <c r="D862" s="62"/>
      <c r="E862" s="62"/>
      <c r="F862" s="62"/>
      <c r="G862" s="62"/>
      <c r="H862" s="62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</row>
    <row r="863">
      <c r="A863" s="63"/>
      <c r="B863" s="63"/>
      <c r="C863" s="62"/>
      <c r="D863" s="62"/>
      <c r="E863" s="62"/>
      <c r="F863" s="62"/>
      <c r="G863" s="62"/>
      <c r="H863" s="62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</row>
    <row r="864">
      <c r="A864" s="63"/>
      <c r="B864" s="63"/>
      <c r="C864" s="62"/>
      <c r="D864" s="62"/>
      <c r="E864" s="62"/>
      <c r="F864" s="62"/>
      <c r="G864" s="62"/>
      <c r="H864" s="62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</row>
    <row r="865">
      <c r="A865" s="63"/>
      <c r="B865" s="63"/>
      <c r="C865" s="62"/>
      <c r="D865" s="62"/>
      <c r="E865" s="62"/>
      <c r="F865" s="62"/>
      <c r="G865" s="62"/>
      <c r="H865" s="62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</row>
    <row r="866">
      <c r="A866" s="63"/>
      <c r="B866" s="63"/>
      <c r="C866" s="62"/>
      <c r="D866" s="62"/>
      <c r="E866" s="62"/>
      <c r="F866" s="62"/>
      <c r="G866" s="62"/>
      <c r="H866" s="62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</row>
    <row r="867">
      <c r="A867" s="63"/>
      <c r="B867" s="63"/>
      <c r="C867" s="62"/>
      <c r="D867" s="62"/>
      <c r="E867" s="62"/>
      <c r="F867" s="62"/>
      <c r="G867" s="62"/>
      <c r="H867" s="62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</row>
    <row r="868">
      <c r="A868" s="63"/>
      <c r="B868" s="63"/>
      <c r="C868" s="62"/>
      <c r="D868" s="62"/>
      <c r="E868" s="62"/>
      <c r="F868" s="62"/>
      <c r="G868" s="62"/>
      <c r="H868" s="62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</row>
    <row r="869">
      <c r="A869" s="63"/>
      <c r="B869" s="63"/>
      <c r="C869" s="62"/>
      <c r="D869" s="62"/>
      <c r="E869" s="62"/>
      <c r="F869" s="62"/>
      <c r="G869" s="62"/>
      <c r="H869" s="62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</row>
    <row r="870">
      <c r="A870" s="63"/>
      <c r="B870" s="63"/>
      <c r="C870" s="62"/>
      <c r="D870" s="62"/>
      <c r="E870" s="62"/>
      <c r="F870" s="62"/>
      <c r="G870" s="62"/>
      <c r="H870" s="62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</row>
    <row r="871">
      <c r="A871" s="63"/>
      <c r="B871" s="63"/>
      <c r="C871" s="62"/>
      <c r="D871" s="62"/>
      <c r="E871" s="62"/>
      <c r="F871" s="62"/>
      <c r="G871" s="62"/>
      <c r="H871" s="62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</row>
    <row r="872">
      <c r="A872" s="63"/>
      <c r="B872" s="63"/>
      <c r="C872" s="62"/>
      <c r="D872" s="62"/>
      <c r="E872" s="62"/>
      <c r="F872" s="62"/>
      <c r="G872" s="62"/>
      <c r="H872" s="62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</row>
    <row r="873">
      <c r="A873" s="63"/>
      <c r="B873" s="63"/>
      <c r="C873" s="62"/>
      <c r="D873" s="62"/>
      <c r="E873" s="62"/>
      <c r="F873" s="62"/>
      <c r="G873" s="62"/>
      <c r="H873" s="62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</row>
    <row r="874">
      <c r="A874" s="63"/>
      <c r="B874" s="63"/>
      <c r="C874" s="62"/>
      <c r="D874" s="62"/>
      <c r="E874" s="62"/>
      <c r="F874" s="62"/>
      <c r="G874" s="62"/>
      <c r="H874" s="62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</row>
    <row r="875">
      <c r="A875" s="63"/>
      <c r="B875" s="63"/>
      <c r="C875" s="62"/>
      <c r="D875" s="62"/>
      <c r="E875" s="62"/>
      <c r="F875" s="62"/>
      <c r="G875" s="62"/>
      <c r="H875" s="62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</row>
    <row r="876">
      <c r="A876" s="63"/>
      <c r="B876" s="63"/>
      <c r="C876" s="62"/>
      <c r="D876" s="62"/>
      <c r="E876" s="62"/>
      <c r="F876" s="62"/>
      <c r="G876" s="62"/>
      <c r="H876" s="62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</row>
    <row r="877">
      <c r="A877" s="63"/>
      <c r="B877" s="63"/>
      <c r="C877" s="62"/>
      <c r="D877" s="62"/>
      <c r="E877" s="62"/>
      <c r="F877" s="62"/>
      <c r="G877" s="62"/>
      <c r="H877" s="62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</row>
    <row r="878">
      <c r="A878" s="63"/>
      <c r="B878" s="63"/>
      <c r="C878" s="62"/>
      <c r="D878" s="62"/>
      <c r="E878" s="62"/>
      <c r="F878" s="62"/>
      <c r="G878" s="62"/>
      <c r="H878" s="62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</row>
    <row r="879">
      <c r="A879" s="63"/>
      <c r="B879" s="63"/>
      <c r="C879" s="62"/>
      <c r="D879" s="62"/>
      <c r="E879" s="62"/>
      <c r="F879" s="62"/>
      <c r="G879" s="62"/>
      <c r="H879" s="62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</row>
    <row r="880">
      <c r="A880" s="63"/>
      <c r="B880" s="63"/>
      <c r="C880" s="62"/>
      <c r="D880" s="62"/>
      <c r="E880" s="62"/>
      <c r="F880" s="62"/>
      <c r="G880" s="62"/>
      <c r="H880" s="62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</row>
    <row r="881">
      <c r="A881" s="63"/>
      <c r="B881" s="63"/>
      <c r="C881" s="62"/>
      <c r="D881" s="62"/>
      <c r="E881" s="62"/>
      <c r="F881" s="62"/>
      <c r="G881" s="62"/>
      <c r="H881" s="62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</row>
    <row r="882">
      <c r="A882" s="63"/>
      <c r="B882" s="63"/>
      <c r="C882" s="62"/>
      <c r="D882" s="62"/>
      <c r="E882" s="62"/>
      <c r="F882" s="62"/>
      <c r="G882" s="62"/>
      <c r="H882" s="62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</row>
    <row r="883">
      <c r="A883" s="63"/>
      <c r="B883" s="63"/>
      <c r="C883" s="62"/>
      <c r="D883" s="62"/>
      <c r="E883" s="62"/>
      <c r="F883" s="62"/>
      <c r="G883" s="62"/>
      <c r="H883" s="62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</row>
    <row r="884">
      <c r="A884" s="63"/>
      <c r="B884" s="63"/>
      <c r="C884" s="62"/>
      <c r="D884" s="62"/>
      <c r="E884" s="62"/>
      <c r="F884" s="62"/>
      <c r="G884" s="62"/>
      <c r="H884" s="62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</row>
    <row r="885">
      <c r="A885" s="63"/>
      <c r="B885" s="63"/>
      <c r="C885" s="62"/>
      <c r="D885" s="62"/>
      <c r="E885" s="62"/>
      <c r="F885" s="62"/>
      <c r="G885" s="62"/>
      <c r="H885" s="62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</row>
    <row r="886">
      <c r="A886" s="63"/>
      <c r="B886" s="63"/>
      <c r="C886" s="62"/>
      <c r="D886" s="62"/>
      <c r="E886" s="62"/>
      <c r="F886" s="62"/>
      <c r="G886" s="62"/>
      <c r="H886" s="62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</row>
    <row r="887">
      <c r="A887" s="63"/>
      <c r="B887" s="63"/>
      <c r="C887" s="62"/>
      <c r="D887" s="62"/>
      <c r="E887" s="62"/>
      <c r="F887" s="62"/>
      <c r="G887" s="62"/>
      <c r="H887" s="62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</row>
    <row r="888">
      <c r="A888" s="63"/>
      <c r="B888" s="63"/>
      <c r="C888" s="62"/>
      <c r="D888" s="62"/>
      <c r="E888" s="62"/>
      <c r="F888" s="62"/>
      <c r="G888" s="62"/>
      <c r="H888" s="62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</row>
    <row r="889">
      <c r="A889" s="63"/>
      <c r="B889" s="63"/>
      <c r="C889" s="62"/>
      <c r="D889" s="62"/>
      <c r="E889" s="62"/>
      <c r="F889" s="62"/>
      <c r="G889" s="62"/>
      <c r="H889" s="62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</row>
    <row r="890">
      <c r="A890" s="63"/>
      <c r="B890" s="63"/>
      <c r="C890" s="62"/>
      <c r="D890" s="62"/>
      <c r="E890" s="62"/>
      <c r="F890" s="62"/>
      <c r="G890" s="62"/>
      <c r="H890" s="62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</row>
    <row r="891">
      <c r="A891" s="63"/>
      <c r="B891" s="63"/>
      <c r="C891" s="62"/>
      <c r="D891" s="62"/>
      <c r="E891" s="62"/>
      <c r="F891" s="62"/>
      <c r="G891" s="62"/>
      <c r="H891" s="62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</row>
    <row r="892">
      <c r="A892" s="63"/>
      <c r="B892" s="63"/>
      <c r="C892" s="62"/>
      <c r="D892" s="62"/>
      <c r="E892" s="62"/>
      <c r="F892" s="62"/>
      <c r="G892" s="62"/>
      <c r="H892" s="62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</row>
    <row r="893">
      <c r="A893" s="63"/>
      <c r="B893" s="63"/>
      <c r="C893" s="62"/>
      <c r="D893" s="62"/>
      <c r="E893" s="62"/>
      <c r="F893" s="62"/>
      <c r="G893" s="62"/>
      <c r="H893" s="62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</row>
    <row r="894">
      <c r="A894" s="63"/>
      <c r="B894" s="63"/>
      <c r="C894" s="62"/>
      <c r="D894" s="62"/>
      <c r="E894" s="62"/>
      <c r="F894" s="62"/>
      <c r="G894" s="62"/>
      <c r="H894" s="62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</row>
    <row r="895">
      <c r="A895" s="63"/>
      <c r="B895" s="63"/>
      <c r="C895" s="62"/>
      <c r="D895" s="62"/>
      <c r="E895" s="62"/>
      <c r="F895" s="62"/>
      <c r="G895" s="62"/>
      <c r="H895" s="62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</row>
    <row r="896">
      <c r="A896" s="63"/>
      <c r="B896" s="63"/>
      <c r="C896" s="62"/>
      <c r="D896" s="62"/>
      <c r="E896" s="62"/>
      <c r="F896" s="62"/>
      <c r="G896" s="62"/>
      <c r="H896" s="62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</row>
    <row r="897">
      <c r="A897" s="63"/>
      <c r="B897" s="63"/>
      <c r="C897" s="62"/>
      <c r="D897" s="62"/>
      <c r="E897" s="62"/>
      <c r="F897" s="62"/>
      <c r="G897" s="62"/>
      <c r="H897" s="62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</row>
    <row r="898">
      <c r="A898" s="63"/>
      <c r="B898" s="63"/>
      <c r="C898" s="62"/>
      <c r="D898" s="62"/>
      <c r="E898" s="62"/>
      <c r="F898" s="62"/>
      <c r="G898" s="62"/>
      <c r="H898" s="62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</row>
    <row r="899">
      <c r="A899" s="63"/>
      <c r="B899" s="63"/>
      <c r="C899" s="62"/>
      <c r="D899" s="62"/>
      <c r="E899" s="62"/>
      <c r="F899" s="62"/>
      <c r="G899" s="62"/>
      <c r="H899" s="62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</row>
    <row r="900">
      <c r="A900" s="63"/>
      <c r="B900" s="63"/>
      <c r="C900" s="62"/>
      <c r="D900" s="62"/>
      <c r="E900" s="62"/>
      <c r="F900" s="62"/>
      <c r="G900" s="62"/>
      <c r="H900" s="62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</row>
    <row r="901">
      <c r="A901" s="63"/>
      <c r="B901" s="63"/>
      <c r="C901" s="62"/>
      <c r="D901" s="62"/>
      <c r="E901" s="62"/>
      <c r="F901" s="62"/>
      <c r="G901" s="62"/>
      <c r="H901" s="62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</row>
    <row r="902">
      <c r="A902" s="63"/>
      <c r="B902" s="63"/>
      <c r="C902" s="62"/>
      <c r="D902" s="62"/>
      <c r="E902" s="62"/>
      <c r="F902" s="62"/>
      <c r="G902" s="62"/>
      <c r="H902" s="62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</row>
    <row r="903">
      <c r="A903" s="63"/>
      <c r="B903" s="63"/>
      <c r="C903" s="62"/>
      <c r="D903" s="62"/>
      <c r="E903" s="62"/>
      <c r="F903" s="62"/>
      <c r="G903" s="62"/>
      <c r="H903" s="62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</row>
    <row r="904">
      <c r="A904" s="63"/>
      <c r="B904" s="63"/>
      <c r="C904" s="62"/>
      <c r="D904" s="62"/>
      <c r="E904" s="62"/>
      <c r="F904" s="62"/>
      <c r="G904" s="62"/>
      <c r="H904" s="62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</row>
    <row r="905">
      <c r="A905" s="63"/>
      <c r="B905" s="63"/>
      <c r="C905" s="62"/>
      <c r="D905" s="62"/>
      <c r="E905" s="62"/>
      <c r="F905" s="62"/>
      <c r="G905" s="62"/>
      <c r="H905" s="62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</row>
    <row r="906">
      <c r="A906" s="63"/>
      <c r="B906" s="63"/>
      <c r="C906" s="62"/>
      <c r="D906" s="62"/>
      <c r="E906" s="62"/>
      <c r="F906" s="62"/>
      <c r="G906" s="62"/>
      <c r="H906" s="62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</row>
    <row r="907">
      <c r="A907" s="63"/>
      <c r="B907" s="63"/>
      <c r="C907" s="62"/>
      <c r="D907" s="62"/>
      <c r="E907" s="62"/>
      <c r="F907" s="62"/>
      <c r="G907" s="62"/>
      <c r="H907" s="62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</row>
    <row r="908">
      <c r="A908" s="63"/>
      <c r="B908" s="63"/>
      <c r="C908" s="62"/>
      <c r="D908" s="62"/>
      <c r="E908" s="62"/>
      <c r="F908" s="62"/>
      <c r="G908" s="62"/>
      <c r="H908" s="62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</row>
    <row r="909">
      <c r="A909" s="63"/>
      <c r="B909" s="63"/>
      <c r="C909" s="62"/>
      <c r="D909" s="62"/>
      <c r="E909" s="62"/>
      <c r="F909" s="62"/>
      <c r="G909" s="62"/>
      <c r="H909" s="62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</row>
    <row r="910">
      <c r="A910" s="63"/>
      <c r="B910" s="63"/>
      <c r="C910" s="62"/>
      <c r="D910" s="62"/>
      <c r="E910" s="62"/>
      <c r="F910" s="62"/>
      <c r="G910" s="62"/>
      <c r="H910" s="62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</row>
    <row r="911">
      <c r="A911" s="63"/>
      <c r="B911" s="63"/>
      <c r="C911" s="62"/>
      <c r="D911" s="62"/>
      <c r="E911" s="62"/>
      <c r="F911" s="62"/>
      <c r="G911" s="62"/>
      <c r="H911" s="62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</row>
    <row r="912">
      <c r="A912" s="63"/>
      <c r="B912" s="63"/>
      <c r="C912" s="62"/>
      <c r="D912" s="62"/>
      <c r="E912" s="62"/>
      <c r="F912" s="62"/>
      <c r="G912" s="62"/>
      <c r="H912" s="62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</row>
    <row r="913">
      <c r="A913" s="63"/>
      <c r="B913" s="63"/>
      <c r="C913" s="62"/>
      <c r="D913" s="62"/>
      <c r="E913" s="62"/>
      <c r="F913" s="62"/>
      <c r="G913" s="62"/>
      <c r="H913" s="62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</row>
    <row r="914">
      <c r="A914" s="63"/>
      <c r="B914" s="63"/>
      <c r="C914" s="62"/>
      <c r="D914" s="62"/>
      <c r="E914" s="62"/>
      <c r="F914" s="62"/>
      <c r="G914" s="62"/>
      <c r="H914" s="62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</row>
    <row r="915">
      <c r="A915" s="63"/>
      <c r="B915" s="63"/>
      <c r="C915" s="62"/>
      <c r="D915" s="62"/>
      <c r="E915" s="62"/>
      <c r="F915" s="62"/>
      <c r="G915" s="62"/>
      <c r="H915" s="62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</row>
    <row r="916">
      <c r="A916" s="63"/>
      <c r="B916" s="63"/>
      <c r="C916" s="62"/>
      <c r="D916" s="62"/>
      <c r="E916" s="62"/>
      <c r="F916" s="62"/>
      <c r="G916" s="62"/>
      <c r="H916" s="62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</row>
    <row r="917">
      <c r="A917" s="63"/>
      <c r="B917" s="63"/>
      <c r="C917" s="62"/>
      <c r="D917" s="62"/>
      <c r="E917" s="62"/>
      <c r="F917" s="62"/>
      <c r="G917" s="62"/>
      <c r="H917" s="62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</row>
    <row r="918">
      <c r="A918" s="63"/>
      <c r="B918" s="63"/>
      <c r="C918" s="62"/>
      <c r="D918" s="62"/>
      <c r="E918" s="62"/>
      <c r="F918" s="62"/>
      <c r="G918" s="62"/>
      <c r="H918" s="62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</row>
    <row r="919">
      <c r="A919" s="63"/>
      <c r="B919" s="63"/>
      <c r="C919" s="62"/>
      <c r="D919" s="62"/>
      <c r="E919" s="62"/>
      <c r="F919" s="62"/>
      <c r="G919" s="62"/>
      <c r="H919" s="62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</row>
    <row r="920">
      <c r="A920" s="63"/>
      <c r="B920" s="63"/>
      <c r="C920" s="62"/>
      <c r="D920" s="62"/>
      <c r="E920" s="62"/>
      <c r="F920" s="62"/>
      <c r="G920" s="62"/>
      <c r="H920" s="62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</row>
    <row r="921">
      <c r="A921" s="63"/>
      <c r="B921" s="63"/>
      <c r="C921" s="62"/>
      <c r="D921" s="62"/>
      <c r="E921" s="62"/>
      <c r="F921" s="62"/>
      <c r="G921" s="62"/>
      <c r="H921" s="62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</row>
    <row r="922">
      <c r="A922" s="63"/>
      <c r="B922" s="63"/>
      <c r="C922" s="62"/>
      <c r="D922" s="62"/>
      <c r="E922" s="62"/>
      <c r="F922" s="62"/>
      <c r="G922" s="62"/>
      <c r="H922" s="62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</row>
    <row r="923">
      <c r="A923" s="63"/>
      <c r="B923" s="63"/>
      <c r="C923" s="62"/>
      <c r="D923" s="62"/>
      <c r="E923" s="62"/>
      <c r="F923" s="62"/>
      <c r="G923" s="62"/>
      <c r="H923" s="62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</row>
    <row r="924">
      <c r="A924" s="63"/>
      <c r="B924" s="63"/>
      <c r="C924" s="62"/>
      <c r="D924" s="62"/>
      <c r="E924" s="62"/>
      <c r="F924" s="62"/>
      <c r="G924" s="62"/>
      <c r="H924" s="62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</row>
    <row r="925">
      <c r="A925" s="63"/>
      <c r="B925" s="63"/>
      <c r="C925" s="62"/>
      <c r="D925" s="62"/>
      <c r="E925" s="62"/>
      <c r="F925" s="62"/>
      <c r="G925" s="62"/>
      <c r="H925" s="62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</row>
    <row r="926">
      <c r="A926" s="63"/>
      <c r="B926" s="63"/>
      <c r="C926" s="62"/>
      <c r="D926" s="62"/>
      <c r="E926" s="62"/>
      <c r="F926" s="62"/>
      <c r="G926" s="62"/>
      <c r="H926" s="62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</row>
    <row r="927">
      <c r="A927" s="63"/>
      <c r="B927" s="63"/>
      <c r="C927" s="62"/>
      <c r="D927" s="62"/>
      <c r="E927" s="62"/>
      <c r="F927" s="62"/>
      <c r="G927" s="62"/>
      <c r="H927" s="62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</row>
    <row r="928">
      <c r="A928" s="63"/>
      <c r="B928" s="63"/>
      <c r="C928" s="62"/>
      <c r="D928" s="62"/>
      <c r="E928" s="62"/>
      <c r="F928" s="62"/>
      <c r="G928" s="62"/>
      <c r="H928" s="62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</row>
    <row r="929">
      <c r="A929" s="63"/>
      <c r="B929" s="63"/>
      <c r="C929" s="62"/>
      <c r="D929" s="62"/>
      <c r="E929" s="62"/>
      <c r="F929" s="62"/>
      <c r="G929" s="62"/>
      <c r="H929" s="62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</row>
    <row r="930">
      <c r="A930" s="63"/>
      <c r="B930" s="63"/>
      <c r="C930" s="62"/>
      <c r="D930" s="62"/>
      <c r="E930" s="62"/>
      <c r="F930" s="62"/>
      <c r="G930" s="62"/>
      <c r="H930" s="62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</row>
    <row r="931">
      <c r="A931" s="63"/>
      <c r="B931" s="63"/>
      <c r="C931" s="62"/>
      <c r="D931" s="62"/>
      <c r="E931" s="62"/>
      <c r="F931" s="62"/>
      <c r="G931" s="62"/>
      <c r="H931" s="62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</row>
    <row r="932">
      <c r="A932" s="63"/>
      <c r="B932" s="63"/>
      <c r="C932" s="62"/>
      <c r="D932" s="62"/>
      <c r="E932" s="62"/>
      <c r="F932" s="62"/>
      <c r="G932" s="62"/>
      <c r="H932" s="62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</row>
    <row r="933">
      <c r="A933" s="63"/>
      <c r="B933" s="63"/>
      <c r="C933" s="62"/>
      <c r="D933" s="62"/>
      <c r="E933" s="62"/>
      <c r="F933" s="62"/>
      <c r="G933" s="62"/>
      <c r="H933" s="62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</row>
    <row r="934">
      <c r="A934" s="63"/>
      <c r="B934" s="63"/>
      <c r="C934" s="62"/>
      <c r="D934" s="62"/>
      <c r="E934" s="62"/>
      <c r="F934" s="62"/>
      <c r="G934" s="62"/>
      <c r="H934" s="62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</row>
    <row r="935">
      <c r="A935" s="63"/>
      <c r="B935" s="63"/>
      <c r="C935" s="62"/>
      <c r="D935" s="62"/>
      <c r="E935" s="62"/>
      <c r="F935" s="62"/>
      <c r="G935" s="62"/>
      <c r="H935" s="62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</row>
    <row r="936">
      <c r="A936" s="63"/>
      <c r="B936" s="63"/>
      <c r="C936" s="62"/>
      <c r="D936" s="62"/>
      <c r="E936" s="62"/>
      <c r="F936" s="62"/>
      <c r="G936" s="62"/>
      <c r="H936" s="62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</row>
    <row r="937">
      <c r="A937" s="63"/>
      <c r="B937" s="63"/>
      <c r="C937" s="62"/>
      <c r="D937" s="62"/>
      <c r="E937" s="62"/>
      <c r="F937" s="62"/>
      <c r="G937" s="62"/>
      <c r="H937" s="62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</row>
    <row r="938">
      <c r="A938" s="63"/>
      <c r="B938" s="63"/>
      <c r="C938" s="62"/>
      <c r="D938" s="62"/>
      <c r="E938" s="62"/>
      <c r="F938" s="62"/>
      <c r="G938" s="62"/>
      <c r="H938" s="62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</row>
    <row r="939">
      <c r="A939" s="63"/>
      <c r="B939" s="63"/>
      <c r="C939" s="62"/>
      <c r="D939" s="62"/>
      <c r="E939" s="62"/>
      <c r="F939" s="62"/>
      <c r="G939" s="62"/>
      <c r="H939" s="62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</row>
    <row r="940">
      <c r="A940" s="63"/>
      <c r="B940" s="63"/>
      <c r="C940" s="62"/>
      <c r="D940" s="62"/>
      <c r="E940" s="62"/>
      <c r="F940" s="62"/>
      <c r="G940" s="62"/>
      <c r="H940" s="62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</row>
    <row r="941">
      <c r="A941" s="63"/>
      <c r="B941" s="63"/>
      <c r="C941" s="62"/>
      <c r="D941" s="62"/>
      <c r="E941" s="62"/>
      <c r="F941" s="62"/>
      <c r="G941" s="62"/>
      <c r="H941" s="62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</row>
    <row r="942">
      <c r="A942" s="63"/>
      <c r="B942" s="63"/>
      <c r="C942" s="62"/>
      <c r="D942" s="62"/>
      <c r="E942" s="62"/>
      <c r="F942" s="62"/>
      <c r="G942" s="62"/>
      <c r="H942" s="62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</row>
    <row r="943">
      <c r="A943" s="63"/>
      <c r="B943" s="63"/>
      <c r="C943" s="62"/>
      <c r="D943" s="62"/>
      <c r="E943" s="62"/>
      <c r="F943" s="62"/>
      <c r="G943" s="62"/>
      <c r="H943" s="62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</row>
    <row r="944">
      <c r="A944" s="63"/>
      <c r="B944" s="63"/>
      <c r="C944" s="62"/>
      <c r="D944" s="62"/>
      <c r="E944" s="62"/>
      <c r="F944" s="62"/>
      <c r="G944" s="62"/>
      <c r="H944" s="62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</row>
    <row r="945">
      <c r="A945" s="63"/>
      <c r="B945" s="63"/>
      <c r="C945" s="62"/>
      <c r="D945" s="62"/>
      <c r="E945" s="62"/>
      <c r="F945" s="62"/>
      <c r="G945" s="62"/>
      <c r="H945" s="62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</row>
    <row r="946">
      <c r="A946" s="63"/>
      <c r="B946" s="63"/>
      <c r="C946" s="62"/>
      <c r="D946" s="62"/>
      <c r="E946" s="62"/>
      <c r="F946" s="62"/>
      <c r="G946" s="62"/>
      <c r="H946" s="62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</row>
    <row r="947">
      <c r="A947" s="63"/>
      <c r="B947" s="63"/>
      <c r="C947" s="62"/>
      <c r="D947" s="62"/>
      <c r="E947" s="62"/>
      <c r="F947" s="62"/>
      <c r="G947" s="62"/>
      <c r="H947" s="62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</row>
    <row r="948">
      <c r="A948" s="63"/>
      <c r="B948" s="63"/>
      <c r="C948" s="62"/>
      <c r="D948" s="62"/>
      <c r="E948" s="62"/>
      <c r="F948" s="62"/>
      <c r="G948" s="62"/>
      <c r="H948" s="62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</row>
    <row r="949">
      <c r="A949" s="63"/>
      <c r="B949" s="63"/>
      <c r="C949" s="62"/>
      <c r="D949" s="62"/>
      <c r="E949" s="62"/>
      <c r="F949" s="62"/>
      <c r="G949" s="62"/>
      <c r="H949" s="62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</row>
    <row r="950">
      <c r="A950" s="63"/>
      <c r="B950" s="63"/>
      <c r="C950" s="62"/>
      <c r="D950" s="62"/>
      <c r="E950" s="62"/>
      <c r="F950" s="62"/>
      <c r="G950" s="62"/>
      <c r="H950" s="62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</row>
    <row r="951">
      <c r="A951" s="63"/>
      <c r="B951" s="63"/>
      <c r="C951" s="62"/>
      <c r="D951" s="62"/>
      <c r="E951" s="62"/>
      <c r="F951" s="62"/>
      <c r="G951" s="62"/>
      <c r="H951" s="62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</row>
    <row r="952">
      <c r="A952" s="63"/>
      <c r="B952" s="63"/>
      <c r="C952" s="62"/>
      <c r="D952" s="62"/>
      <c r="E952" s="62"/>
      <c r="F952" s="62"/>
      <c r="G952" s="62"/>
      <c r="H952" s="62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</row>
    <row r="953">
      <c r="A953" s="63"/>
      <c r="B953" s="63"/>
      <c r="C953" s="62"/>
      <c r="D953" s="62"/>
      <c r="E953" s="62"/>
      <c r="F953" s="62"/>
      <c r="G953" s="62"/>
      <c r="H953" s="62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</row>
    <row r="954">
      <c r="A954" s="63"/>
      <c r="B954" s="63"/>
      <c r="C954" s="62"/>
      <c r="D954" s="62"/>
      <c r="E954" s="62"/>
      <c r="F954" s="62"/>
      <c r="G954" s="62"/>
      <c r="H954" s="62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</row>
    <row r="955">
      <c r="A955" s="63"/>
      <c r="B955" s="63"/>
      <c r="C955" s="62"/>
      <c r="D955" s="62"/>
      <c r="E955" s="62"/>
      <c r="F955" s="62"/>
      <c r="G955" s="62"/>
      <c r="H955" s="62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</row>
    <row r="956">
      <c r="A956" s="63"/>
      <c r="B956" s="63"/>
      <c r="C956" s="62"/>
      <c r="D956" s="62"/>
      <c r="E956" s="62"/>
      <c r="F956" s="62"/>
      <c r="G956" s="62"/>
      <c r="H956" s="62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</row>
    <row r="957">
      <c r="A957" s="63"/>
      <c r="B957" s="63"/>
      <c r="C957" s="62"/>
      <c r="D957" s="62"/>
      <c r="E957" s="62"/>
      <c r="F957" s="62"/>
      <c r="G957" s="62"/>
      <c r="H957" s="62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</row>
    <row r="958">
      <c r="A958" s="63"/>
      <c r="B958" s="63"/>
      <c r="C958" s="62"/>
      <c r="D958" s="62"/>
      <c r="E958" s="62"/>
      <c r="F958" s="62"/>
      <c r="G958" s="62"/>
      <c r="H958" s="62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</row>
    <row r="959">
      <c r="A959" s="63"/>
      <c r="B959" s="63"/>
      <c r="C959" s="62"/>
      <c r="D959" s="62"/>
      <c r="E959" s="62"/>
      <c r="F959" s="62"/>
      <c r="G959" s="62"/>
      <c r="H959" s="62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</row>
    <row r="960">
      <c r="A960" s="63"/>
      <c r="B960" s="63"/>
      <c r="C960" s="62"/>
      <c r="D960" s="62"/>
      <c r="E960" s="62"/>
      <c r="F960" s="62"/>
      <c r="G960" s="62"/>
      <c r="H960" s="62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</row>
    <row r="961">
      <c r="A961" s="63"/>
      <c r="B961" s="63"/>
      <c r="C961" s="62"/>
      <c r="D961" s="62"/>
      <c r="E961" s="62"/>
      <c r="F961" s="62"/>
      <c r="G961" s="62"/>
      <c r="H961" s="62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</row>
    <row r="962">
      <c r="A962" s="63"/>
      <c r="B962" s="63"/>
      <c r="C962" s="62"/>
      <c r="D962" s="62"/>
      <c r="E962" s="62"/>
      <c r="F962" s="62"/>
      <c r="G962" s="62"/>
      <c r="H962" s="62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</row>
    <row r="963">
      <c r="A963" s="63"/>
      <c r="B963" s="63"/>
      <c r="C963" s="62"/>
      <c r="D963" s="62"/>
      <c r="E963" s="62"/>
      <c r="F963" s="62"/>
      <c r="G963" s="62"/>
      <c r="H963" s="62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</row>
    <row r="964">
      <c r="A964" s="63"/>
      <c r="B964" s="63"/>
      <c r="C964" s="62"/>
      <c r="D964" s="62"/>
      <c r="E964" s="62"/>
      <c r="F964" s="62"/>
      <c r="G964" s="62"/>
      <c r="H964" s="62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</row>
    <row r="965">
      <c r="A965" s="63"/>
      <c r="B965" s="63"/>
      <c r="C965" s="62"/>
      <c r="D965" s="62"/>
      <c r="E965" s="62"/>
      <c r="F965" s="62"/>
      <c r="G965" s="62"/>
      <c r="H965" s="62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</row>
    <row r="966">
      <c r="A966" s="63"/>
      <c r="B966" s="63"/>
      <c r="C966" s="62"/>
      <c r="D966" s="62"/>
      <c r="E966" s="62"/>
      <c r="F966" s="62"/>
      <c r="G966" s="62"/>
      <c r="H966" s="62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</row>
    <row r="967">
      <c r="A967" s="63"/>
      <c r="B967" s="63"/>
      <c r="C967" s="62"/>
      <c r="D967" s="62"/>
      <c r="E967" s="62"/>
      <c r="F967" s="62"/>
      <c r="G967" s="62"/>
      <c r="H967" s="62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</row>
    <row r="968">
      <c r="A968" s="63"/>
      <c r="B968" s="63"/>
      <c r="C968" s="62"/>
      <c r="D968" s="62"/>
      <c r="E968" s="62"/>
      <c r="F968" s="62"/>
      <c r="G968" s="62"/>
      <c r="H968" s="62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</row>
    <row r="969">
      <c r="A969" s="63"/>
      <c r="B969" s="63"/>
      <c r="C969" s="62"/>
      <c r="D969" s="62"/>
      <c r="E969" s="62"/>
      <c r="F969" s="62"/>
      <c r="G969" s="62"/>
      <c r="H969" s="62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</row>
    <row r="970">
      <c r="A970" s="63"/>
      <c r="B970" s="63"/>
      <c r="C970" s="62"/>
      <c r="D970" s="62"/>
      <c r="E970" s="62"/>
      <c r="F970" s="62"/>
      <c r="G970" s="62"/>
      <c r="H970" s="62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</row>
    <row r="971">
      <c r="A971" s="63"/>
      <c r="B971" s="63"/>
      <c r="C971" s="62"/>
      <c r="D971" s="62"/>
      <c r="E971" s="62"/>
      <c r="F971" s="62"/>
      <c r="G971" s="62"/>
      <c r="H971" s="62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</row>
    <row r="972">
      <c r="A972" s="63"/>
      <c r="B972" s="63"/>
      <c r="C972" s="62"/>
      <c r="D972" s="62"/>
      <c r="E972" s="62"/>
      <c r="F972" s="62"/>
      <c r="G972" s="62"/>
      <c r="H972" s="62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</row>
    <row r="973">
      <c r="A973" s="63"/>
      <c r="B973" s="63"/>
      <c r="C973" s="62"/>
      <c r="D973" s="62"/>
      <c r="E973" s="62"/>
      <c r="F973" s="62"/>
      <c r="G973" s="62"/>
      <c r="H973" s="62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</row>
    <row r="974">
      <c r="A974" s="63"/>
      <c r="B974" s="63"/>
      <c r="C974" s="62"/>
      <c r="D974" s="62"/>
      <c r="E974" s="62"/>
      <c r="F974" s="62"/>
      <c r="G974" s="62"/>
      <c r="H974" s="62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</row>
    <row r="975">
      <c r="A975" s="63"/>
      <c r="B975" s="63"/>
      <c r="C975" s="62"/>
      <c r="D975" s="62"/>
      <c r="E975" s="62"/>
      <c r="F975" s="62"/>
      <c r="G975" s="62"/>
      <c r="H975" s="62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</row>
    <row r="976">
      <c r="A976" s="63"/>
      <c r="B976" s="63"/>
      <c r="C976" s="62"/>
      <c r="D976" s="62"/>
      <c r="E976" s="62"/>
      <c r="F976" s="62"/>
      <c r="G976" s="62"/>
      <c r="H976" s="62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</row>
    <row r="977">
      <c r="A977" s="63"/>
      <c r="B977" s="63"/>
      <c r="C977" s="62"/>
      <c r="D977" s="62"/>
      <c r="E977" s="62"/>
      <c r="F977" s="62"/>
      <c r="G977" s="62"/>
      <c r="H977" s="62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</row>
    <row r="978">
      <c r="A978" s="63"/>
      <c r="B978" s="63"/>
      <c r="C978" s="62"/>
      <c r="D978" s="62"/>
      <c r="E978" s="62"/>
      <c r="F978" s="62"/>
      <c r="G978" s="62"/>
      <c r="H978" s="62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</row>
    <row r="979">
      <c r="A979" s="63"/>
      <c r="B979" s="63"/>
      <c r="C979" s="62"/>
      <c r="D979" s="62"/>
      <c r="E979" s="62"/>
      <c r="F979" s="62"/>
      <c r="G979" s="62"/>
      <c r="H979" s="62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</row>
    <row r="980">
      <c r="A980" s="63"/>
      <c r="B980" s="63"/>
      <c r="C980" s="62"/>
      <c r="D980" s="62"/>
      <c r="E980" s="62"/>
      <c r="F980" s="62"/>
      <c r="G980" s="62"/>
      <c r="H980" s="62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</row>
    <row r="981">
      <c r="A981" s="63"/>
      <c r="B981" s="63"/>
      <c r="C981" s="62"/>
      <c r="D981" s="62"/>
      <c r="E981" s="62"/>
      <c r="F981" s="62"/>
      <c r="G981" s="62"/>
      <c r="H981" s="62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</row>
    <row r="982">
      <c r="A982" s="63"/>
      <c r="B982" s="63"/>
      <c r="C982" s="62"/>
      <c r="D982" s="62"/>
      <c r="E982" s="62"/>
      <c r="F982" s="62"/>
      <c r="G982" s="62"/>
      <c r="H982" s="62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</row>
    <row r="983">
      <c r="A983" s="63"/>
      <c r="B983" s="63"/>
      <c r="C983" s="62"/>
      <c r="D983" s="62"/>
      <c r="E983" s="62"/>
      <c r="F983" s="62"/>
      <c r="G983" s="62"/>
      <c r="H983" s="62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</row>
    <row r="984">
      <c r="A984" s="63"/>
      <c r="B984" s="63"/>
      <c r="C984" s="62"/>
      <c r="D984" s="62"/>
      <c r="E984" s="62"/>
      <c r="F984" s="62"/>
      <c r="G984" s="62"/>
      <c r="H984" s="62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</row>
    <row r="985">
      <c r="A985" s="63"/>
      <c r="B985" s="63"/>
      <c r="C985" s="62"/>
      <c r="D985" s="62"/>
      <c r="E985" s="62"/>
      <c r="F985" s="62"/>
      <c r="G985" s="62"/>
      <c r="H985" s="62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</row>
    <row r="986">
      <c r="A986" s="63"/>
      <c r="B986" s="63"/>
      <c r="C986" s="62"/>
      <c r="D986" s="62"/>
      <c r="E986" s="62"/>
      <c r="F986" s="62"/>
      <c r="G986" s="62"/>
      <c r="H986" s="62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</row>
    <row r="987">
      <c r="A987" s="63"/>
      <c r="B987" s="63"/>
      <c r="C987" s="62"/>
      <c r="D987" s="62"/>
      <c r="E987" s="62"/>
      <c r="F987" s="62"/>
      <c r="G987" s="62"/>
      <c r="H987" s="62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</row>
    <row r="988">
      <c r="A988" s="63"/>
      <c r="B988" s="63"/>
      <c r="C988" s="62"/>
      <c r="D988" s="62"/>
      <c r="E988" s="62"/>
      <c r="F988" s="62"/>
      <c r="G988" s="62"/>
      <c r="H988" s="62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</row>
    <row r="989">
      <c r="A989" s="63"/>
      <c r="B989" s="63"/>
      <c r="C989" s="62"/>
      <c r="D989" s="62"/>
      <c r="E989" s="62"/>
      <c r="F989" s="62"/>
      <c r="G989" s="62"/>
      <c r="H989" s="62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</row>
    <row r="990">
      <c r="A990" s="63"/>
      <c r="B990" s="63"/>
      <c r="C990" s="62"/>
      <c r="D990" s="62"/>
      <c r="E990" s="62"/>
      <c r="F990" s="62"/>
      <c r="G990" s="62"/>
      <c r="H990" s="62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</row>
    <row r="991">
      <c r="A991" s="63"/>
      <c r="B991" s="63"/>
      <c r="C991" s="62"/>
      <c r="D991" s="62"/>
      <c r="E991" s="62"/>
      <c r="F991" s="62"/>
      <c r="G991" s="62"/>
      <c r="H991" s="62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</row>
    <row r="992">
      <c r="A992" s="63"/>
      <c r="B992" s="63"/>
      <c r="C992" s="62"/>
      <c r="D992" s="62"/>
      <c r="E992" s="62"/>
      <c r="F992" s="62"/>
      <c r="G992" s="62"/>
      <c r="H992" s="62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</row>
    <row r="993">
      <c r="A993" s="63"/>
      <c r="B993" s="63"/>
      <c r="C993" s="62"/>
      <c r="D993" s="62"/>
      <c r="E993" s="62"/>
      <c r="F993" s="62"/>
      <c r="G993" s="62"/>
      <c r="H993" s="62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</row>
  </sheetData>
  <autoFilter ref="$A$1:$AA$993"/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9.38"/>
    <col customWidth="1" min="3" max="3" width="19.63"/>
    <col customWidth="1" min="4" max="4" width="20.5"/>
    <col customWidth="1" min="6" max="6" width="20.0"/>
    <col customWidth="1" min="7" max="7" width="23.25"/>
    <col customWidth="1" min="8" max="8" width="13.38"/>
    <col customWidth="1" min="9" max="9" width="15.75"/>
    <col customWidth="1" min="10" max="10" width="29.13"/>
  </cols>
  <sheetData>
    <row r="1">
      <c r="A1" s="99" t="s">
        <v>48</v>
      </c>
      <c r="B1" s="99" t="s">
        <v>5</v>
      </c>
      <c r="C1" s="99" t="s">
        <v>3</v>
      </c>
      <c r="D1" s="100" t="s">
        <v>1932</v>
      </c>
      <c r="E1" s="101" t="s">
        <v>1933</v>
      </c>
      <c r="F1" s="102" t="s">
        <v>1934</v>
      </c>
      <c r="G1" s="99" t="s">
        <v>1935</v>
      </c>
      <c r="H1" s="99" t="s">
        <v>1936</v>
      </c>
      <c r="I1" s="99" t="s">
        <v>1937</v>
      </c>
      <c r="J1" s="99" t="s">
        <v>1938</v>
      </c>
      <c r="K1" s="103"/>
      <c r="L1" s="103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</row>
    <row r="2">
      <c r="A2" s="105"/>
      <c r="B2" s="106"/>
      <c r="C2" s="106"/>
      <c r="D2" s="107">
        <f>SUM(D4:D115)</f>
        <v>1100</v>
      </c>
      <c r="E2" s="108">
        <f>sum(E7:E36)</f>
        <v>94150</v>
      </c>
      <c r="F2" s="109">
        <f>SUM(F7:F10)-F9</f>
        <v>750</v>
      </c>
      <c r="G2" s="108">
        <f>+E2+F2</f>
        <v>94900</v>
      </c>
      <c r="H2" s="104"/>
      <c r="I2" s="110">
        <v>46146.0</v>
      </c>
      <c r="J2" s="111" t="s">
        <v>1939</v>
      </c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</row>
    <row r="3">
      <c r="A3" s="105">
        <v>46142.0</v>
      </c>
      <c r="B3" s="106" t="s">
        <v>1940</v>
      </c>
      <c r="C3" s="106" t="s">
        <v>1432</v>
      </c>
      <c r="D3" s="112">
        <v>48.0</v>
      </c>
      <c r="E3" s="113"/>
      <c r="F3" s="114"/>
      <c r="G3" s="115"/>
      <c r="H3" s="116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</row>
    <row r="4">
      <c r="A4" s="105">
        <v>46143.0</v>
      </c>
      <c r="B4" s="106" t="s">
        <v>1941</v>
      </c>
      <c r="C4" s="106" t="s">
        <v>1432</v>
      </c>
      <c r="D4" s="117">
        <v>11.0</v>
      </c>
      <c r="E4" s="113">
        <f t="shared" ref="E4:E5" si="1">D4*300</f>
        <v>3300</v>
      </c>
      <c r="F4" s="114"/>
      <c r="G4" s="118">
        <f>SUM(E4:F10)</f>
        <v>15400</v>
      </c>
      <c r="H4" s="116" t="s">
        <v>1942</v>
      </c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</row>
    <row r="5">
      <c r="A5" s="119">
        <v>46143.0</v>
      </c>
      <c r="B5" s="116" t="s">
        <v>1943</v>
      </c>
      <c r="C5" s="106" t="s">
        <v>1432</v>
      </c>
      <c r="D5" s="117">
        <v>4.0</v>
      </c>
      <c r="E5" s="113">
        <f t="shared" si="1"/>
        <v>1200</v>
      </c>
      <c r="H5" s="116" t="s">
        <v>1942</v>
      </c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</row>
    <row r="6">
      <c r="A6" s="119">
        <v>46143.0</v>
      </c>
      <c r="B6" s="106" t="s">
        <v>74</v>
      </c>
      <c r="C6" s="106" t="s">
        <v>1432</v>
      </c>
      <c r="D6" s="117">
        <v>8.0</v>
      </c>
      <c r="E6" s="113">
        <f>D6*250</f>
        <v>2000</v>
      </c>
      <c r="H6" s="116" t="s">
        <v>1942</v>
      </c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</row>
    <row r="7">
      <c r="A7" s="105">
        <v>46146.0</v>
      </c>
      <c r="B7" s="106" t="s">
        <v>1941</v>
      </c>
      <c r="C7" s="106" t="s">
        <v>1944</v>
      </c>
      <c r="D7" s="120">
        <v>18.0</v>
      </c>
      <c r="E7" s="121">
        <f>D7*300</f>
        <v>5400</v>
      </c>
      <c r="F7" s="122"/>
      <c r="G7" s="121"/>
      <c r="H7" s="123" t="s">
        <v>1945</v>
      </c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</row>
    <row r="8">
      <c r="A8" s="105">
        <v>46146.0</v>
      </c>
      <c r="B8" s="106" t="s">
        <v>74</v>
      </c>
      <c r="C8" s="106" t="s">
        <v>1944</v>
      </c>
      <c r="D8" s="106">
        <v>5.0</v>
      </c>
      <c r="E8" s="121">
        <f>D8*250</f>
        <v>1250</v>
      </c>
      <c r="F8" s="124">
        <v>750.0</v>
      </c>
      <c r="G8" s="104"/>
      <c r="H8" s="123" t="s">
        <v>1945</v>
      </c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</row>
    <row r="9">
      <c r="A9" s="105">
        <v>46146.0</v>
      </c>
      <c r="B9" s="125" t="s">
        <v>1946</v>
      </c>
      <c r="C9" s="106" t="s">
        <v>1944</v>
      </c>
      <c r="D9" s="106">
        <v>4.0</v>
      </c>
      <c r="E9" s="122">
        <v>300.0</v>
      </c>
      <c r="F9" s="122">
        <v>900.0</v>
      </c>
      <c r="G9" s="104"/>
      <c r="H9" s="123" t="s">
        <v>1945</v>
      </c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</row>
    <row r="10">
      <c r="A10" s="126">
        <v>46146.0</v>
      </c>
      <c r="B10" s="127" t="s">
        <v>86</v>
      </c>
      <c r="C10" s="106" t="s">
        <v>1944</v>
      </c>
      <c r="D10" s="127">
        <v>1.0</v>
      </c>
      <c r="E10" s="128">
        <f t="shared" ref="E10:E11" si="2">D10*300</f>
        <v>300</v>
      </c>
      <c r="F10" s="121"/>
      <c r="G10" s="104"/>
      <c r="H10" s="104"/>
      <c r="I10" s="104"/>
      <c r="J10" s="111" t="s">
        <v>1947</v>
      </c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</row>
    <row r="11">
      <c r="A11" s="105">
        <v>46147.0</v>
      </c>
      <c r="B11" s="106" t="s">
        <v>1941</v>
      </c>
      <c r="C11" s="106" t="s">
        <v>1944</v>
      </c>
      <c r="D11" s="120">
        <v>16.0</v>
      </c>
      <c r="E11" s="129">
        <f t="shared" si="2"/>
        <v>4800</v>
      </c>
      <c r="F11" s="128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</row>
    <row r="12">
      <c r="A12" s="105">
        <v>46147.0</v>
      </c>
      <c r="B12" s="106" t="s">
        <v>74</v>
      </c>
      <c r="C12" s="106" t="s">
        <v>1944</v>
      </c>
      <c r="D12" s="106">
        <v>8.0</v>
      </c>
      <c r="E12" s="129">
        <f>D12*250-F8</f>
        <v>1250</v>
      </c>
      <c r="F12" s="130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</row>
    <row r="13">
      <c r="A13" s="105">
        <v>46147.0</v>
      </c>
      <c r="B13" s="125" t="s">
        <v>1946</v>
      </c>
      <c r="C13" s="106" t="s">
        <v>1944</v>
      </c>
      <c r="D13" s="106">
        <v>6.0</v>
      </c>
      <c r="E13" s="129">
        <f>D13*300</f>
        <v>1800</v>
      </c>
      <c r="F13" s="129">
        <v>600.0</v>
      </c>
      <c r="G13" s="121">
        <f>SUM(E11:E13)+F13</f>
        <v>8450</v>
      </c>
      <c r="H13" s="111" t="s">
        <v>1948</v>
      </c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</row>
    <row r="14">
      <c r="A14" s="105">
        <v>46147.0</v>
      </c>
      <c r="B14" s="131" t="s">
        <v>86</v>
      </c>
      <c r="C14" s="106" t="s">
        <v>1944</v>
      </c>
      <c r="D14" s="106">
        <v>0.0</v>
      </c>
      <c r="E14" s="121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</row>
    <row r="15">
      <c r="A15" s="105">
        <v>46148.0</v>
      </c>
      <c r="B15" s="125" t="s">
        <v>1946</v>
      </c>
      <c r="C15" s="125" t="s">
        <v>1432</v>
      </c>
      <c r="D15" s="132">
        <v>16.0</v>
      </c>
      <c r="E15" s="121"/>
      <c r="F15" s="121"/>
      <c r="G15" s="111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</row>
    <row r="16">
      <c r="A16" s="105">
        <v>46148.0</v>
      </c>
      <c r="B16" s="106" t="s">
        <v>1941</v>
      </c>
      <c r="C16" s="106" t="s">
        <v>1944</v>
      </c>
      <c r="D16" s="120">
        <v>21.0</v>
      </c>
      <c r="E16" s="121">
        <f t="shared" ref="E16:E17" si="3">D16*300</f>
        <v>6300</v>
      </c>
      <c r="F16" s="121">
        <v>7750.0</v>
      </c>
      <c r="G16" s="111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</row>
    <row r="17">
      <c r="A17" s="105">
        <v>46148.0</v>
      </c>
      <c r="B17" s="127" t="s">
        <v>86</v>
      </c>
      <c r="C17" s="106" t="s">
        <v>1944</v>
      </c>
      <c r="D17" s="106">
        <v>3.0</v>
      </c>
      <c r="E17" s="121">
        <f t="shared" si="3"/>
        <v>900</v>
      </c>
      <c r="F17" s="121">
        <v>300.0</v>
      </c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</row>
    <row r="18">
      <c r="A18" s="105">
        <v>46148.0</v>
      </c>
      <c r="B18" s="106" t="s">
        <v>74</v>
      </c>
      <c r="C18" s="106" t="s">
        <v>1944</v>
      </c>
      <c r="D18" s="133">
        <v>11.0</v>
      </c>
      <c r="E18" s="121">
        <v>1500.0</v>
      </c>
      <c r="F18" s="121">
        <f>E16</f>
        <v>6300</v>
      </c>
      <c r="G18" s="123">
        <v>11.0</v>
      </c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</row>
    <row r="19">
      <c r="A19" s="134">
        <v>46149.0</v>
      </c>
      <c r="B19" s="125" t="s">
        <v>1946</v>
      </c>
      <c r="C19" s="125" t="s">
        <v>1432</v>
      </c>
      <c r="D19" s="135">
        <v>15.0</v>
      </c>
      <c r="E19" s="136">
        <f>D19*300</f>
        <v>4500</v>
      </c>
      <c r="F19" s="137">
        <v>900.0</v>
      </c>
      <c r="H19" s="138" t="s">
        <v>1949</v>
      </c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</row>
    <row r="20">
      <c r="A20" s="134">
        <v>46149.0</v>
      </c>
      <c r="B20" s="125" t="s">
        <v>74</v>
      </c>
      <c r="C20" s="125" t="s">
        <v>1432</v>
      </c>
      <c r="D20" s="135">
        <v>7.0</v>
      </c>
      <c r="E20" s="140">
        <f>1300+450</f>
        <v>1750</v>
      </c>
      <c r="F20" s="113"/>
      <c r="H20" s="141" t="s">
        <v>1949</v>
      </c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</row>
    <row r="21">
      <c r="A21" s="134">
        <v>46149.0</v>
      </c>
      <c r="B21" s="127" t="s">
        <v>86</v>
      </c>
      <c r="C21" s="125" t="s">
        <v>1432</v>
      </c>
      <c r="D21" s="135">
        <v>3.0</v>
      </c>
      <c r="E21" s="136">
        <f>D21*300-300</f>
        <v>600</v>
      </c>
      <c r="F21" s="136">
        <v>300.0</v>
      </c>
      <c r="H21" s="141" t="s">
        <v>1949</v>
      </c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</row>
    <row r="22">
      <c r="A22" s="134">
        <v>46149.0</v>
      </c>
      <c r="B22" s="106" t="s">
        <v>1941</v>
      </c>
      <c r="C22" s="106" t="s">
        <v>1944</v>
      </c>
      <c r="D22" s="142">
        <v>22.0</v>
      </c>
      <c r="E22" s="143">
        <f>D22*300</f>
        <v>6600</v>
      </c>
      <c r="F22" s="137">
        <f>-E22+8000</f>
        <v>1400</v>
      </c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</row>
    <row r="23">
      <c r="A23" s="134">
        <v>46149.0</v>
      </c>
      <c r="B23" s="106" t="s">
        <v>1941</v>
      </c>
      <c r="C23" s="125" t="s">
        <v>1432</v>
      </c>
      <c r="D23" s="135">
        <v>1.0</v>
      </c>
      <c r="E23" s="136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</row>
    <row r="24">
      <c r="A24" s="145">
        <v>46150.0</v>
      </c>
      <c r="B24" s="106" t="s">
        <v>1941</v>
      </c>
      <c r="C24" s="106" t="s">
        <v>1944</v>
      </c>
      <c r="D24" s="142">
        <v>23.0</v>
      </c>
      <c r="E24" s="136">
        <f t="shared" ref="E24:E25" si="4">D24*300</f>
        <v>6900</v>
      </c>
      <c r="F24" s="121">
        <f>7000-E24+1100-1200</f>
        <v>0</v>
      </c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</row>
    <row r="25">
      <c r="A25" s="145">
        <v>46150.0</v>
      </c>
      <c r="B25" s="125" t="s">
        <v>1946</v>
      </c>
      <c r="C25" s="125" t="s">
        <v>1432</v>
      </c>
      <c r="D25" s="146">
        <v>12.0</v>
      </c>
      <c r="E25" s="136">
        <f t="shared" si="4"/>
        <v>3600</v>
      </c>
      <c r="F25" s="137">
        <f>3000-E25+F19</f>
        <v>300</v>
      </c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</row>
    <row r="26">
      <c r="A26" s="145">
        <v>46150.0</v>
      </c>
      <c r="B26" s="125" t="s">
        <v>74</v>
      </c>
      <c r="C26" s="106" t="s">
        <v>1944</v>
      </c>
      <c r="D26" s="125">
        <v>6.0</v>
      </c>
      <c r="E26" s="136">
        <v>3000.0</v>
      </c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</row>
    <row r="27">
      <c r="A27" s="145">
        <v>46150.0</v>
      </c>
      <c r="B27" s="125" t="s">
        <v>74</v>
      </c>
      <c r="C27" s="125" t="s">
        <v>1432</v>
      </c>
      <c r="D27" s="147">
        <v>1.0</v>
      </c>
      <c r="E27" s="136"/>
      <c r="F27" s="139"/>
      <c r="G27" s="139"/>
      <c r="H27" s="141" t="s">
        <v>1950</v>
      </c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</row>
    <row r="28">
      <c r="A28" s="105">
        <v>46153.0</v>
      </c>
      <c r="B28" s="125" t="s">
        <v>1946</v>
      </c>
      <c r="C28" s="125" t="s">
        <v>1432</v>
      </c>
      <c r="D28" s="148">
        <v>10.0</v>
      </c>
      <c r="E28" s="136">
        <f>D28*300</f>
        <v>3000</v>
      </c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</row>
    <row r="29">
      <c r="A29" s="105">
        <v>46153.0</v>
      </c>
      <c r="B29" s="125" t="s">
        <v>74</v>
      </c>
      <c r="C29" s="106" t="s">
        <v>352</v>
      </c>
      <c r="D29" s="106">
        <v>7.0</v>
      </c>
      <c r="E29" s="136">
        <f>D29*250</f>
        <v>1750</v>
      </c>
      <c r="F29" s="149">
        <v>50.0</v>
      </c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</row>
    <row r="30">
      <c r="A30" s="105">
        <v>46153.0</v>
      </c>
      <c r="B30" s="106" t="s">
        <v>1941</v>
      </c>
      <c r="C30" s="106" t="s">
        <v>1944</v>
      </c>
      <c r="D30" s="120">
        <v>11.0</v>
      </c>
      <c r="E30" s="136">
        <f>D30*300</f>
        <v>3300</v>
      </c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</row>
    <row r="31">
      <c r="A31" s="105">
        <v>46154.0</v>
      </c>
      <c r="B31" s="106" t="s">
        <v>1941</v>
      </c>
      <c r="C31" s="106" t="s">
        <v>1944</v>
      </c>
      <c r="D31" s="120">
        <v>25.0</v>
      </c>
      <c r="E31" s="140">
        <v>9000.0</v>
      </c>
      <c r="F31" s="137">
        <v>1500.0</v>
      </c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</row>
    <row r="32">
      <c r="A32" s="105">
        <v>46154.0</v>
      </c>
      <c r="B32" s="106" t="s">
        <v>74</v>
      </c>
      <c r="C32" s="106" t="s">
        <v>1951</v>
      </c>
      <c r="D32" s="106">
        <v>8.0</v>
      </c>
      <c r="E32" s="140">
        <v>2500.0</v>
      </c>
      <c r="F32" s="137">
        <v>600.0</v>
      </c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</row>
    <row r="33">
      <c r="A33" s="105">
        <v>46154.0</v>
      </c>
      <c r="B33" s="125" t="s">
        <v>1946</v>
      </c>
      <c r="C33" s="106" t="s">
        <v>1432</v>
      </c>
      <c r="D33" s="150">
        <v>15.0</v>
      </c>
      <c r="E33" s="140">
        <v>4800.0</v>
      </c>
      <c r="F33" s="151">
        <v>300.0</v>
      </c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</row>
    <row r="34">
      <c r="A34" s="105">
        <v>46155.0</v>
      </c>
      <c r="B34" s="106" t="s">
        <v>74</v>
      </c>
      <c r="C34" s="106" t="s">
        <v>352</v>
      </c>
      <c r="D34" s="106">
        <v>21.0</v>
      </c>
      <c r="E34" s="140">
        <v>5250.0</v>
      </c>
      <c r="F34" s="140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</row>
    <row r="35">
      <c r="A35" s="105">
        <v>46155.0</v>
      </c>
      <c r="B35" s="106" t="s">
        <v>1941</v>
      </c>
      <c r="C35" s="106" t="s">
        <v>1944</v>
      </c>
      <c r="D35" s="120">
        <v>25.0</v>
      </c>
      <c r="E35" s="140">
        <v>7800.0</v>
      </c>
      <c r="F35" s="137">
        <v>300.0</v>
      </c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</row>
    <row r="36">
      <c r="A36" s="105">
        <v>46155.0</v>
      </c>
      <c r="B36" s="125" t="s">
        <v>1946</v>
      </c>
      <c r="C36" s="106" t="s">
        <v>1432</v>
      </c>
      <c r="D36" s="152">
        <v>20.0</v>
      </c>
      <c r="E36" s="140">
        <v>6000.0</v>
      </c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</row>
    <row r="37">
      <c r="A37" s="105">
        <v>46156.0</v>
      </c>
      <c r="B37" s="125" t="s">
        <v>1946</v>
      </c>
      <c r="C37" s="106" t="s">
        <v>1432</v>
      </c>
      <c r="D37" s="153">
        <v>19.0</v>
      </c>
      <c r="E37" s="140">
        <v>6000.0</v>
      </c>
      <c r="F37" s="137">
        <v>300.0</v>
      </c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</row>
    <row r="38">
      <c r="A38" s="105">
        <v>46156.0</v>
      </c>
      <c r="B38" s="106" t="s">
        <v>74</v>
      </c>
      <c r="C38" s="106" t="s">
        <v>1944</v>
      </c>
      <c r="D38" s="106">
        <v>4.0</v>
      </c>
      <c r="E38" s="140">
        <v>1250.0</v>
      </c>
      <c r="F38" s="121">
        <f>D38*250-E38</f>
        <v>-250</v>
      </c>
      <c r="G38" s="104" t="str">
        <f>IFERROR(__xludf.DUMMYFUNCTION("AI(""Fill an appropriate value for this cell based on the table context"")"),"Something went wrong. Try again.")</f>
        <v>Something went wrong. Try again.</v>
      </c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</row>
    <row r="39">
      <c r="A39" s="105">
        <v>46156.0</v>
      </c>
      <c r="B39" s="106" t="s">
        <v>1941</v>
      </c>
      <c r="C39" s="106" t="s">
        <v>1944</v>
      </c>
      <c r="D39" s="120">
        <v>21.0</v>
      </c>
      <c r="E39" s="140">
        <v>5800.0</v>
      </c>
      <c r="F39" s="111" t="s">
        <v>1952</v>
      </c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</row>
    <row r="40">
      <c r="A40" s="105">
        <v>46157.0</v>
      </c>
      <c r="B40" s="125" t="s">
        <v>1946</v>
      </c>
      <c r="C40" s="106" t="s">
        <v>1432</v>
      </c>
      <c r="D40" s="154">
        <v>11.0</v>
      </c>
      <c r="E40" s="140">
        <f t="shared" ref="E40:E41" si="5">D40*300</f>
        <v>3300</v>
      </c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</row>
    <row r="41">
      <c r="A41" s="145">
        <v>46158.0</v>
      </c>
      <c r="B41" s="106" t="s">
        <v>1941</v>
      </c>
      <c r="C41" s="106" t="s">
        <v>1944</v>
      </c>
      <c r="D41" s="142">
        <v>7.0</v>
      </c>
      <c r="E41" s="140">
        <f t="shared" si="5"/>
        <v>2100</v>
      </c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</row>
    <row r="42">
      <c r="A42" s="145">
        <v>46158.0</v>
      </c>
      <c r="B42" s="125" t="s">
        <v>74</v>
      </c>
      <c r="C42" s="106" t="s">
        <v>1944</v>
      </c>
      <c r="D42" s="125">
        <v>4.0</v>
      </c>
      <c r="E42" s="140">
        <f>D42*250</f>
        <v>1000</v>
      </c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</row>
    <row r="43">
      <c r="A43" s="105">
        <v>46160.0</v>
      </c>
      <c r="B43" s="106" t="s">
        <v>1941</v>
      </c>
      <c r="C43" s="106" t="s">
        <v>1944</v>
      </c>
      <c r="D43" s="120">
        <v>10.0</v>
      </c>
      <c r="E43" s="140">
        <f>D43*300</f>
        <v>3000</v>
      </c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</row>
    <row r="44">
      <c r="A44" s="105">
        <v>46160.0</v>
      </c>
      <c r="B44" s="106" t="s">
        <v>74</v>
      </c>
      <c r="C44" s="106" t="s">
        <v>352</v>
      </c>
      <c r="D44" s="106">
        <v>6.0</v>
      </c>
      <c r="E44" s="140">
        <f>D44*250</f>
        <v>1500</v>
      </c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</row>
    <row r="45">
      <c r="A45" s="105">
        <v>46160.0</v>
      </c>
      <c r="B45" s="125" t="s">
        <v>1946</v>
      </c>
      <c r="C45" s="106" t="s">
        <v>352</v>
      </c>
      <c r="D45" s="106">
        <v>6.0</v>
      </c>
      <c r="E45" s="140">
        <f t="shared" ref="E45:E46" si="6">D45*300</f>
        <v>1800</v>
      </c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</row>
    <row r="46">
      <c r="A46" s="105">
        <v>46160.0</v>
      </c>
      <c r="B46" s="127" t="s">
        <v>86</v>
      </c>
      <c r="C46" s="106" t="s">
        <v>1432</v>
      </c>
      <c r="D46" s="148">
        <v>2.0</v>
      </c>
      <c r="E46" s="140">
        <f t="shared" si="6"/>
        <v>600</v>
      </c>
      <c r="F46" s="124">
        <v>300.0</v>
      </c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</row>
    <row r="47">
      <c r="A47" s="105">
        <v>46161.0</v>
      </c>
      <c r="B47" s="127" t="s">
        <v>86</v>
      </c>
      <c r="C47" s="106" t="s">
        <v>1944</v>
      </c>
      <c r="D47" s="106">
        <v>2.0</v>
      </c>
      <c r="E47" s="140">
        <v>450.0</v>
      </c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</row>
    <row r="48">
      <c r="A48" s="105">
        <v>46161.0</v>
      </c>
      <c r="B48" s="106" t="s">
        <v>74</v>
      </c>
      <c r="C48" s="106" t="s">
        <v>1944</v>
      </c>
      <c r="D48" s="106">
        <v>3.0</v>
      </c>
      <c r="E48" s="140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</row>
    <row r="49">
      <c r="A49" s="105">
        <v>46161.0</v>
      </c>
      <c r="B49" s="106" t="s">
        <v>1941</v>
      </c>
      <c r="C49" s="106" t="s">
        <v>1944</v>
      </c>
      <c r="D49" s="120">
        <v>4.0</v>
      </c>
      <c r="E49" s="140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</row>
    <row r="50">
      <c r="A50" s="105">
        <v>46161.0</v>
      </c>
      <c r="B50" s="125" t="s">
        <v>1946</v>
      </c>
      <c r="C50" s="106" t="s">
        <v>1944</v>
      </c>
      <c r="D50" s="106">
        <v>4.0</v>
      </c>
      <c r="E50" s="140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</row>
    <row r="51">
      <c r="A51" s="105">
        <v>46162.0</v>
      </c>
      <c r="B51" s="125" t="s">
        <v>1946</v>
      </c>
      <c r="C51" s="106" t="s">
        <v>1944</v>
      </c>
      <c r="D51" s="106">
        <v>4.0</v>
      </c>
      <c r="E51" s="140">
        <v>1200.0</v>
      </c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</row>
    <row r="52">
      <c r="A52" s="105">
        <v>46162.0</v>
      </c>
      <c r="B52" s="106" t="s">
        <v>74</v>
      </c>
      <c r="C52" s="106" t="s">
        <v>1944</v>
      </c>
      <c r="D52" s="106">
        <v>4.0</v>
      </c>
      <c r="E52" s="140">
        <v>1000.0</v>
      </c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</row>
    <row r="53">
      <c r="A53" s="105">
        <v>46162.0</v>
      </c>
      <c r="B53" s="106" t="s">
        <v>1941</v>
      </c>
      <c r="C53" s="106" t="s">
        <v>1944</v>
      </c>
      <c r="D53" s="120">
        <v>5.0</v>
      </c>
      <c r="E53" s="140">
        <v>1500.0</v>
      </c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</row>
    <row r="54">
      <c r="A54" s="105">
        <v>46163.0</v>
      </c>
      <c r="B54" s="106" t="s">
        <v>1941</v>
      </c>
      <c r="C54" s="106" t="s">
        <v>1944</v>
      </c>
      <c r="D54" s="120">
        <v>25.0</v>
      </c>
      <c r="E54" s="140">
        <v>7500.0</v>
      </c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</row>
    <row r="55">
      <c r="A55" s="105">
        <v>46163.0</v>
      </c>
      <c r="B55" s="106" t="s">
        <v>74</v>
      </c>
      <c r="C55" s="106" t="s">
        <v>352</v>
      </c>
      <c r="D55" s="106">
        <v>8.0</v>
      </c>
      <c r="E55" s="140">
        <v>2000.0</v>
      </c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</row>
    <row r="56">
      <c r="A56" s="105">
        <v>46163.0</v>
      </c>
      <c r="B56" s="125" t="s">
        <v>1946</v>
      </c>
      <c r="C56" s="106" t="s">
        <v>352</v>
      </c>
      <c r="D56" s="106">
        <v>9.0</v>
      </c>
      <c r="E56" s="140">
        <v>3000.0</v>
      </c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</row>
    <row r="57">
      <c r="A57" s="105">
        <v>46164.0</v>
      </c>
      <c r="B57" s="125" t="s">
        <v>1946</v>
      </c>
      <c r="C57" s="140" t="s">
        <v>1432</v>
      </c>
      <c r="D57" s="155">
        <v>15.0</v>
      </c>
      <c r="E57" s="140">
        <v>4500.0</v>
      </c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</row>
    <row r="58">
      <c r="A58" s="105">
        <v>46164.0</v>
      </c>
      <c r="B58" s="106" t="s">
        <v>74</v>
      </c>
      <c r="C58" s="106" t="s">
        <v>1432</v>
      </c>
      <c r="D58" s="155">
        <v>9.0</v>
      </c>
      <c r="E58" s="140">
        <v>2250.0</v>
      </c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</row>
    <row r="59">
      <c r="A59" s="105">
        <v>46164.0</v>
      </c>
      <c r="B59" s="106" t="s">
        <v>1941</v>
      </c>
      <c r="C59" s="106" t="s">
        <v>1432</v>
      </c>
      <c r="D59" s="155">
        <v>14.0</v>
      </c>
      <c r="E59" s="140">
        <v>4200.0</v>
      </c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</row>
    <row r="60">
      <c r="A60" s="105">
        <v>46168.0</v>
      </c>
      <c r="B60" s="106" t="s">
        <v>1941</v>
      </c>
      <c r="C60" s="106" t="s">
        <v>1944</v>
      </c>
      <c r="D60" s="156">
        <v>33.0</v>
      </c>
      <c r="E60" s="140">
        <v>9900.0</v>
      </c>
      <c r="F60" s="104"/>
      <c r="G60" s="104"/>
      <c r="H60" s="104"/>
      <c r="I60" s="104"/>
      <c r="J60" s="157" t="s">
        <v>1953</v>
      </c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</row>
    <row r="61">
      <c r="A61" s="105">
        <v>46168.0</v>
      </c>
      <c r="B61" s="106" t="s">
        <v>74</v>
      </c>
      <c r="C61" s="106" t="s">
        <v>1432</v>
      </c>
      <c r="D61" s="158">
        <v>5.0</v>
      </c>
      <c r="E61" s="140">
        <v>1250.0</v>
      </c>
      <c r="F61" s="104"/>
      <c r="G61" s="104"/>
      <c r="H61" s="104"/>
      <c r="I61" s="104"/>
      <c r="J61" s="111" t="s">
        <v>1954</v>
      </c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</row>
    <row r="62">
      <c r="A62" s="105">
        <v>46168.0</v>
      </c>
      <c r="B62" s="106" t="s">
        <v>1946</v>
      </c>
      <c r="C62" s="106" t="s">
        <v>1432</v>
      </c>
      <c r="D62" s="158">
        <v>8.0</v>
      </c>
      <c r="E62" s="140">
        <v>2400.0</v>
      </c>
      <c r="F62" s="104"/>
      <c r="G62" s="104"/>
      <c r="H62" s="104"/>
      <c r="I62" s="104"/>
      <c r="J62" s="111" t="s">
        <v>1955</v>
      </c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</row>
    <row r="63">
      <c r="A63" s="105">
        <v>46168.0</v>
      </c>
      <c r="B63" s="106" t="s">
        <v>74</v>
      </c>
      <c r="C63" s="106" t="s">
        <v>352</v>
      </c>
      <c r="D63" s="106">
        <v>5.0</v>
      </c>
      <c r="E63" s="140">
        <v>1250.0</v>
      </c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</row>
    <row r="64">
      <c r="A64" s="105">
        <v>46168.0</v>
      </c>
      <c r="B64" s="106" t="s">
        <v>1946</v>
      </c>
      <c r="C64" s="106" t="s">
        <v>352</v>
      </c>
      <c r="D64" s="106">
        <v>2.0</v>
      </c>
      <c r="E64" s="140">
        <v>600.0</v>
      </c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</row>
    <row r="65">
      <c r="A65" s="105">
        <v>46169.0</v>
      </c>
      <c r="B65" s="106" t="s">
        <v>1956</v>
      </c>
      <c r="C65" s="106" t="s">
        <v>1944</v>
      </c>
      <c r="D65" s="156">
        <v>16.0</v>
      </c>
      <c r="E65" s="140">
        <v>4800.0</v>
      </c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</row>
    <row r="66">
      <c r="A66" s="105">
        <v>46169.0</v>
      </c>
      <c r="B66" s="106" t="s">
        <v>86</v>
      </c>
      <c r="C66" s="106" t="s">
        <v>1432</v>
      </c>
      <c r="D66" s="159">
        <v>3.0</v>
      </c>
      <c r="E66" s="140">
        <v>900.0</v>
      </c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</row>
    <row r="67">
      <c r="A67" s="105">
        <v>46170.0</v>
      </c>
      <c r="B67" s="106" t="s">
        <v>1941</v>
      </c>
      <c r="C67" s="106" t="s">
        <v>1944</v>
      </c>
      <c r="D67" s="156">
        <v>18.0</v>
      </c>
      <c r="E67" s="140">
        <v>5400.0</v>
      </c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</row>
    <row r="68">
      <c r="A68" s="105">
        <v>46170.0</v>
      </c>
      <c r="B68" s="106" t="s">
        <v>1946</v>
      </c>
      <c r="C68" s="106" t="s">
        <v>1432</v>
      </c>
      <c r="D68" s="160">
        <v>2.0</v>
      </c>
      <c r="E68" s="140">
        <v>550.0</v>
      </c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</row>
    <row r="69">
      <c r="A69" s="105">
        <v>46170.0</v>
      </c>
      <c r="B69" s="106" t="s">
        <v>1946</v>
      </c>
      <c r="C69" s="106" t="s">
        <v>352</v>
      </c>
      <c r="D69" s="106">
        <v>14.0</v>
      </c>
      <c r="E69" s="140">
        <v>4200.0</v>
      </c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</row>
    <row r="70">
      <c r="A70" s="105">
        <v>46170.0</v>
      </c>
      <c r="B70" s="106" t="s">
        <v>74</v>
      </c>
      <c r="C70" s="106" t="s">
        <v>352</v>
      </c>
      <c r="D70" s="106">
        <v>7.0</v>
      </c>
      <c r="E70" s="140">
        <v>1750.0</v>
      </c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</row>
    <row r="71">
      <c r="A71" s="105">
        <v>46171.0</v>
      </c>
      <c r="B71" s="106" t="s">
        <v>1957</v>
      </c>
      <c r="C71" s="106" t="s">
        <v>1432</v>
      </c>
      <c r="D71" s="161">
        <v>3.0</v>
      </c>
      <c r="E71" s="140">
        <v>750.0</v>
      </c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</row>
    <row r="72">
      <c r="A72" s="105">
        <v>46171.0</v>
      </c>
      <c r="B72" s="106" t="s">
        <v>1941</v>
      </c>
      <c r="C72" s="106" t="s">
        <v>1432</v>
      </c>
      <c r="D72" s="161">
        <v>9.0</v>
      </c>
      <c r="E72" s="140">
        <v>2700.0</v>
      </c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</row>
    <row r="73">
      <c r="A73" s="105">
        <v>46171.0</v>
      </c>
      <c r="B73" s="106" t="s">
        <v>1946</v>
      </c>
      <c r="C73" s="106" t="s">
        <v>1432</v>
      </c>
      <c r="D73" s="161">
        <v>3.0</v>
      </c>
      <c r="E73" s="140">
        <v>900.0</v>
      </c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</row>
    <row r="74">
      <c r="A74" s="105">
        <v>46172.0</v>
      </c>
      <c r="B74" s="106" t="s">
        <v>1941</v>
      </c>
      <c r="C74" s="106" t="s">
        <v>1944</v>
      </c>
      <c r="D74" s="133">
        <v>16.0</v>
      </c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</row>
    <row r="75">
      <c r="A75" s="162">
        <v>46174.0</v>
      </c>
      <c r="B75" s="106" t="s">
        <v>1956</v>
      </c>
      <c r="C75" s="106" t="s">
        <v>1944</v>
      </c>
      <c r="D75" s="106">
        <v>25.0</v>
      </c>
      <c r="E75" s="140">
        <v>7500.0</v>
      </c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</row>
    <row r="76">
      <c r="A76" s="105">
        <v>46174.0</v>
      </c>
      <c r="B76" s="106" t="s">
        <v>74</v>
      </c>
      <c r="C76" s="106" t="s">
        <v>352</v>
      </c>
      <c r="D76" s="106">
        <v>18.0</v>
      </c>
      <c r="E76" s="140">
        <v>5400.0</v>
      </c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</row>
    <row r="77">
      <c r="A77" s="105">
        <v>46175.0</v>
      </c>
      <c r="B77" s="106" t="s">
        <v>1956</v>
      </c>
      <c r="C77" s="106" t="s">
        <v>1944</v>
      </c>
      <c r="D77" s="106">
        <v>30.0</v>
      </c>
      <c r="E77" s="140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</row>
    <row r="78">
      <c r="A78" s="105">
        <v>46175.0</v>
      </c>
      <c r="B78" s="106" t="s">
        <v>1956</v>
      </c>
      <c r="C78" s="106" t="s">
        <v>1432</v>
      </c>
      <c r="D78" s="127">
        <v>7.0</v>
      </c>
      <c r="E78" s="140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</row>
    <row r="79">
      <c r="A79" s="105">
        <v>46175.0</v>
      </c>
      <c r="B79" s="106" t="s">
        <v>1956</v>
      </c>
      <c r="C79" s="106" t="s">
        <v>352</v>
      </c>
      <c r="D79" s="106">
        <v>1.0</v>
      </c>
      <c r="E79" s="140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</row>
    <row r="80">
      <c r="A80" s="105">
        <v>46175.0</v>
      </c>
      <c r="B80" s="106" t="s">
        <v>74</v>
      </c>
      <c r="C80" s="106" t="s">
        <v>1432</v>
      </c>
      <c r="D80" s="127">
        <v>4.0</v>
      </c>
      <c r="E80" s="140">
        <v>1200.0</v>
      </c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</row>
    <row r="81">
      <c r="A81" s="105">
        <v>46175.0</v>
      </c>
      <c r="B81" s="106" t="s">
        <v>74</v>
      </c>
      <c r="C81" s="106" t="s">
        <v>352</v>
      </c>
      <c r="D81" s="106">
        <v>5.0</v>
      </c>
      <c r="E81" s="140">
        <v>1500.0</v>
      </c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</row>
    <row r="82">
      <c r="A82" s="105">
        <v>46175.0</v>
      </c>
      <c r="B82" s="106" t="s">
        <v>1946</v>
      </c>
      <c r="C82" s="106" t="s">
        <v>1432</v>
      </c>
      <c r="D82" s="127">
        <v>1.0</v>
      </c>
      <c r="E82" s="140">
        <v>300.0</v>
      </c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</row>
    <row r="83">
      <c r="A83" s="105">
        <v>46176.0</v>
      </c>
      <c r="B83" s="106" t="s">
        <v>74</v>
      </c>
      <c r="C83" s="106" t="s">
        <v>352</v>
      </c>
      <c r="D83" s="106">
        <v>16.0</v>
      </c>
      <c r="E83" s="140">
        <v>4800.0</v>
      </c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</row>
    <row r="84">
      <c r="A84" s="105">
        <v>46176.0</v>
      </c>
      <c r="B84" s="106" t="s">
        <v>74</v>
      </c>
      <c r="C84" s="106" t="s">
        <v>1432</v>
      </c>
      <c r="D84" s="127">
        <v>3.0</v>
      </c>
      <c r="E84" s="140">
        <v>900.0</v>
      </c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</row>
    <row r="85">
      <c r="A85" s="105">
        <v>46176.0</v>
      </c>
      <c r="B85" s="106" t="s">
        <v>1956</v>
      </c>
      <c r="C85" s="106" t="s">
        <v>1944</v>
      </c>
      <c r="D85" s="106">
        <v>20.0</v>
      </c>
      <c r="E85" s="140">
        <v>6000.0</v>
      </c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</row>
    <row r="86">
      <c r="A86" s="105">
        <v>46176.0</v>
      </c>
      <c r="B86" s="106" t="s">
        <v>1941</v>
      </c>
      <c r="C86" s="106" t="s">
        <v>1432</v>
      </c>
      <c r="D86" s="127">
        <v>7.0</v>
      </c>
      <c r="E86" s="140"/>
      <c r="F86" s="104"/>
      <c r="G86" s="104"/>
      <c r="H86" s="163" t="s">
        <v>1958</v>
      </c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</row>
    <row r="87">
      <c r="A87" s="105">
        <v>46176.0</v>
      </c>
      <c r="B87" s="106" t="s">
        <v>1946</v>
      </c>
      <c r="C87" s="106" t="s">
        <v>1432</v>
      </c>
      <c r="D87" s="127">
        <v>1.0</v>
      </c>
      <c r="E87" s="140"/>
      <c r="F87" s="104"/>
      <c r="G87" s="104"/>
      <c r="H87" s="163" t="s">
        <v>1959</v>
      </c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</row>
    <row r="88">
      <c r="A88" s="126">
        <v>46177.0</v>
      </c>
      <c r="B88" s="127" t="s">
        <v>1946</v>
      </c>
      <c r="C88" s="127" t="s">
        <v>352</v>
      </c>
      <c r="D88" s="127">
        <v>3.0</v>
      </c>
      <c r="E88" s="164">
        <v>900.0</v>
      </c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</row>
    <row r="89">
      <c r="A89" s="126">
        <v>46177.0</v>
      </c>
      <c r="B89" s="127" t="s">
        <v>1946</v>
      </c>
      <c r="C89" s="127" t="s">
        <v>1432</v>
      </c>
      <c r="D89" s="127">
        <v>10.0</v>
      </c>
      <c r="E89" s="164">
        <v>3000.0</v>
      </c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</row>
    <row r="90">
      <c r="A90" s="126">
        <v>46177.0</v>
      </c>
      <c r="B90" s="127" t="s">
        <v>74</v>
      </c>
      <c r="C90" s="127" t="s">
        <v>352</v>
      </c>
      <c r="D90" s="127">
        <v>14.0</v>
      </c>
      <c r="E90" s="164">
        <v>4200.0</v>
      </c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</row>
    <row r="91">
      <c r="A91" s="126">
        <v>46177.0</v>
      </c>
      <c r="B91" s="127" t="s">
        <v>1956</v>
      </c>
      <c r="C91" s="127" t="s">
        <v>1432</v>
      </c>
      <c r="D91" s="127">
        <v>19.0</v>
      </c>
      <c r="E91" s="16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</row>
    <row r="92">
      <c r="A92" s="126">
        <v>46177.0</v>
      </c>
      <c r="B92" s="127" t="s">
        <v>1941</v>
      </c>
      <c r="C92" s="127" t="s">
        <v>1944</v>
      </c>
      <c r="D92" s="127">
        <v>24.0</v>
      </c>
      <c r="E92" s="16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</row>
    <row r="93">
      <c r="A93" s="105">
        <v>46178.0</v>
      </c>
      <c r="B93" s="106" t="s">
        <v>749</v>
      </c>
      <c r="C93" s="106" t="s">
        <v>1432</v>
      </c>
      <c r="D93" s="127">
        <v>3.0</v>
      </c>
      <c r="E93" s="140">
        <v>900.0</v>
      </c>
      <c r="F93" s="104"/>
      <c r="G93" s="104"/>
      <c r="H93" s="111"/>
      <c r="I93" s="122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</row>
    <row r="94">
      <c r="A94" s="105">
        <v>46181.0</v>
      </c>
      <c r="B94" s="106" t="s">
        <v>749</v>
      </c>
      <c r="C94" s="106" t="s">
        <v>1432</v>
      </c>
      <c r="D94" s="127">
        <v>4.0</v>
      </c>
      <c r="E94" s="140">
        <f>D94*300</f>
        <v>1200</v>
      </c>
      <c r="F94" s="104"/>
      <c r="G94" s="104"/>
      <c r="H94" s="111"/>
      <c r="I94" s="122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</row>
    <row r="95">
      <c r="A95" s="105">
        <v>46181.0</v>
      </c>
      <c r="B95" s="106" t="s">
        <v>769</v>
      </c>
      <c r="C95" s="106" t="s">
        <v>1432</v>
      </c>
      <c r="D95" s="127">
        <v>2.0</v>
      </c>
      <c r="E95" s="140">
        <v>600.0</v>
      </c>
      <c r="F95" s="104"/>
      <c r="G95" s="104"/>
      <c r="H95" s="111" t="s">
        <v>1960</v>
      </c>
      <c r="I95" s="122" t="s">
        <v>1961</v>
      </c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</row>
    <row r="96">
      <c r="A96" s="105">
        <v>46181.0</v>
      </c>
      <c r="B96" s="106" t="s">
        <v>1946</v>
      </c>
      <c r="C96" s="127" t="s">
        <v>1944</v>
      </c>
      <c r="D96" s="106">
        <v>15.0</v>
      </c>
      <c r="E96" s="165">
        <f t="shared" ref="E96:E104" si="7">D96*300</f>
        <v>4500</v>
      </c>
      <c r="F96" s="104"/>
      <c r="G96" s="111" t="s">
        <v>1962</v>
      </c>
      <c r="H96" s="111">
        <v>43.0</v>
      </c>
      <c r="I96" s="121">
        <f>H96*300</f>
        <v>12900</v>
      </c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</row>
    <row r="97">
      <c r="A97" s="105">
        <v>46181.0</v>
      </c>
      <c r="B97" s="106" t="s">
        <v>1941</v>
      </c>
      <c r="C97" s="127" t="s">
        <v>1944</v>
      </c>
      <c r="D97" s="106">
        <v>14.0</v>
      </c>
      <c r="E97" s="165">
        <f t="shared" si="7"/>
        <v>4200</v>
      </c>
      <c r="F97" s="104"/>
      <c r="G97" s="111" t="s">
        <v>1963</v>
      </c>
      <c r="H97" s="104"/>
      <c r="I97" s="122">
        <v>-300.0</v>
      </c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</row>
    <row r="98">
      <c r="A98" s="105">
        <v>46181.0</v>
      </c>
      <c r="B98" s="106" t="s">
        <v>74</v>
      </c>
      <c r="C98" s="127" t="s">
        <v>352</v>
      </c>
      <c r="D98" s="106">
        <v>12.0</v>
      </c>
      <c r="E98" s="165">
        <f t="shared" si="7"/>
        <v>3600</v>
      </c>
      <c r="F98" s="104"/>
      <c r="G98" s="111" t="s">
        <v>1964</v>
      </c>
      <c r="H98" s="104"/>
      <c r="I98" s="121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</row>
    <row r="99">
      <c r="A99" s="105">
        <v>46182.0</v>
      </c>
      <c r="B99" s="106" t="s">
        <v>769</v>
      </c>
      <c r="C99" s="127" t="s">
        <v>1944</v>
      </c>
      <c r="D99" s="106">
        <v>3.0</v>
      </c>
      <c r="E99" s="140">
        <f t="shared" si="7"/>
        <v>900</v>
      </c>
      <c r="F99" s="104"/>
      <c r="G99" s="104"/>
      <c r="H99" s="104"/>
      <c r="I99" s="121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</row>
    <row r="100">
      <c r="A100" s="105">
        <v>46182.0</v>
      </c>
      <c r="B100" s="127" t="s">
        <v>74</v>
      </c>
      <c r="C100" s="127" t="s">
        <v>352</v>
      </c>
      <c r="D100" s="106">
        <v>16.0</v>
      </c>
      <c r="E100" s="140">
        <f t="shared" si="7"/>
        <v>4800</v>
      </c>
      <c r="F100" s="104"/>
      <c r="G100" s="104"/>
      <c r="H100" s="104"/>
      <c r="I100" s="121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</row>
    <row r="101">
      <c r="A101" s="105">
        <v>46182.0</v>
      </c>
      <c r="B101" s="106" t="s">
        <v>1941</v>
      </c>
      <c r="C101" s="127" t="s">
        <v>1944</v>
      </c>
      <c r="D101" s="106">
        <v>6.0</v>
      </c>
      <c r="E101" s="140">
        <f t="shared" si="7"/>
        <v>1800</v>
      </c>
      <c r="F101" s="104"/>
      <c r="G101" s="104"/>
      <c r="H101" s="104"/>
      <c r="I101" s="121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</row>
    <row r="102">
      <c r="A102" s="105">
        <v>46182.0</v>
      </c>
      <c r="B102" s="127" t="s">
        <v>1946</v>
      </c>
      <c r="C102" s="106" t="s">
        <v>1432</v>
      </c>
      <c r="D102" s="127">
        <v>1.0</v>
      </c>
      <c r="E102" s="140">
        <f t="shared" si="7"/>
        <v>300</v>
      </c>
      <c r="F102" s="104"/>
      <c r="G102" s="104"/>
      <c r="H102" s="104"/>
      <c r="I102" s="121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</row>
    <row r="103">
      <c r="A103" s="105">
        <v>46182.0</v>
      </c>
      <c r="B103" s="127" t="s">
        <v>1946</v>
      </c>
      <c r="C103" s="127" t="s">
        <v>1944</v>
      </c>
      <c r="D103" s="106">
        <v>18.0</v>
      </c>
      <c r="E103" s="140">
        <f t="shared" si="7"/>
        <v>5400</v>
      </c>
      <c r="F103" s="104"/>
      <c r="G103" s="104"/>
      <c r="H103" s="104"/>
      <c r="I103" s="121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</row>
    <row r="104">
      <c r="A104" s="105">
        <v>46182.0</v>
      </c>
      <c r="B104" s="106" t="s">
        <v>749</v>
      </c>
      <c r="C104" s="127" t="s">
        <v>352</v>
      </c>
      <c r="D104" s="106">
        <v>3.0</v>
      </c>
      <c r="E104" s="140">
        <f t="shared" si="7"/>
        <v>900</v>
      </c>
      <c r="F104" s="104"/>
      <c r="G104" s="104"/>
      <c r="H104" s="104"/>
      <c r="I104" s="121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</row>
    <row r="105">
      <c r="A105" s="105">
        <v>46183.0</v>
      </c>
      <c r="B105" s="106" t="s">
        <v>769</v>
      </c>
      <c r="C105" s="127" t="s">
        <v>1944</v>
      </c>
      <c r="D105" s="106">
        <v>7.0</v>
      </c>
      <c r="E105" s="140">
        <v>2100.0</v>
      </c>
      <c r="F105" s="104"/>
      <c r="G105" s="104"/>
      <c r="H105" s="104"/>
      <c r="I105" s="121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</row>
    <row r="106">
      <c r="A106" s="105">
        <v>46183.0</v>
      </c>
      <c r="B106" s="106" t="s">
        <v>74</v>
      </c>
      <c r="C106" s="127" t="s">
        <v>352</v>
      </c>
      <c r="D106" s="106">
        <v>9.0</v>
      </c>
      <c r="E106" s="140">
        <v>2700.0</v>
      </c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</row>
    <row r="107">
      <c r="A107" s="105">
        <v>46183.0</v>
      </c>
      <c r="B107" s="106" t="s">
        <v>1965</v>
      </c>
      <c r="C107" s="127" t="s">
        <v>1944</v>
      </c>
      <c r="D107" s="106">
        <v>7.0</v>
      </c>
      <c r="E107" s="140">
        <v>2100.0</v>
      </c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</row>
    <row r="108">
      <c r="A108" s="105">
        <v>46183.0</v>
      </c>
      <c r="B108" s="106" t="s">
        <v>1956</v>
      </c>
      <c r="C108" s="127" t="s">
        <v>1944</v>
      </c>
      <c r="D108" s="106">
        <v>28.0</v>
      </c>
      <c r="E108" s="140">
        <v>8400.0</v>
      </c>
      <c r="F108" s="104"/>
      <c r="G108" s="104"/>
      <c r="H108" s="104"/>
      <c r="I108" s="121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</row>
    <row r="109">
      <c r="A109" s="105">
        <v>46183.0</v>
      </c>
      <c r="B109" s="106" t="s">
        <v>1946</v>
      </c>
      <c r="C109" s="127" t="s">
        <v>352</v>
      </c>
      <c r="D109" s="106">
        <v>10.0</v>
      </c>
      <c r="E109" s="140">
        <v>3000.0</v>
      </c>
      <c r="F109" s="104"/>
      <c r="G109" s="104"/>
      <c r="H109" s="104"/>
      <c r="I109" s="121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</row>
    <row r="110">
      <c r="A110" s="105">
        <v>46183.0</v>
      </c>
      <c r="B110" s="106" t="s">
        <v>749</v>
      </c>
      <c r="C110" s="127" t="s">
        <v>352</v>
      </c>
      <c r="D110" s="106">
        <v>2.0</v>
      </c>
      <c r="E110" s="140">
        <v>600.0</v>
      </c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</row>
    <row r="111">
      <c r="A111" s="105">
        <v>46183.0</v>
      </c>
      <c r="B111" s="106" t="s">
        <v>86</v>
      </c>
      <c r="C111" s="127" t="s">
        <v>352</v>
      </c>
      <c r="D111" s="106">
        <v>1.0</v>
      </c>
      <c r="E111" s="140">
        <v>300.0</v>
      </c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</row>
    <row r="112">
      <c r="A112" s="105">
        <v>46184.0</v>
      </c>
      <c r="B112" s="106" t="s">
        <v>1946</v>
      </c>
      <c r="C112" s="127" t="s">
        <v>352</v>
      </c>
      <c r="D112" s="106">
        <v>5.0</v>
      </c>
      <c r="E112" s="140">
        <v>1500.0</v>
      </c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</row>
    <row r="113">
      <c r="A113" s="105">
        <v>46184.0</v>
      </c>
      <c r="B113" s="106" t="s">
        <v>749</v>
      </c>
      <c r="C113" s="127" t="s">
        <v>352</v>
      </c>
      <c r="D113" s="106">
        <v>3.0</v>
      </c>
      <c r="E113" s="140">
        <v>900.0</v>
      </c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</row>
    <row r="114">
      <c r="A114" s="105">
        <v>46184.0</v>
      </c>
      <c r="B114" s="106" t="s">
        <v>74</v>
      </c>
      <c r="C114" s="127" t="s">
        <v>352</v>
      </c>
      <c r="D114" s="106">
        <v>6.0</v>
      </c>
      <c r="E114" s="140">
        <v>1800.0</v>
      </c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</row>
    <row r="115">
      <c r="A115" s="105">
        <v>46184.0</v>
      </c>
      <c r="B115" s="106" t="s">
        <v>1956</v>
      </c>
      <c r="C115" s="127" t="s">
        <v>1944</v>
      </c>
      <c r="D115" s="106">
        <v>13.0</v>
      </c>
      <c r="E115" s="140">
        <v>3900.0</v>
      </c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</row>
    <row r="116">
      <c r="A116" s="105">
        <v>46184.0</v>
      </c>
      <c r="B116" s="106" t="s">
        <v>769</v>
      </c>
      <c r="C116" s="127" t="s">
        <v>1944</v>
      </c>
      <c r="D116" s="106">
        <v>4.0</v>
      </c>
      <c r="E116" s="140">
        <v>1200.0</v>
      </c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</row>
    <row r="117">
      <c r="A117" s="105">
        <v>46188.0</v>
      </c>
      <c r="B117" s="106" t="s">
        <v>1946</v>
      </c>
      <c r="C117" s="127" t="s">
        <v>1944</v>
      </c>
      <c r="D117" s="106">
        <v>4.0</v>
      </c>
      <c r="E117" s="140">
        <v>1200.0</v>
      </c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</row>
    <row r="118">
      <c r="A118" s="105">
        <v>46188.0</v>
      </c>
      <c r="B118" s="106" t="s">
        <v>1946</v>
      </c>
      <c r="C118" s="127" t="s">
        <v>352</v>
      </c>
      <c r="D118" s="106">
        <v>4.0</v>
      </c>
      <c r="E118" s="140">
        <v>1200.0</v>
      </c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</row>
    <row r="119">
      <c r="A119" s="105">
        <v>46188.0</v>
      </c>
      <c r="B119" s="106" t="s">
        <v>769</v>
      </c>
      <c r="C119" s="127" t="s">
        <v>1944</v>
      </c>
      <c r="D119" s="106">
        <v>3.0</v>
      </c>
      <c r="E119" s="140">
        <v>900.0</v>
      </c>
      <c r="F119" s="111" t="s">
        <v>1966</v>
      </c>
      <c r="G119" s="166">
        <f>sum(G120:G124)</f>
        <v>31868</v>
      </c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</row>
    <row r="120">
      <c r="A120" s="105">
        <v>46188.0</v>
      </c>
      <c r="B120" s="106" t="s">
        <v>1941</v>
      </c>
      <c r="C120" s="127" t="s">
        <v>1944</v>
      </c>
      <c r="D120" s="106">
        <v>10.0</v>
      </c>
      <c r="E120" s="140">
        <v>3000.0</v>
      </c>
      <c r="F120" s="104"/>
      <c r="G120" s="111">
        <v>30368.0</v>
      </c>
      <c r="H120" s="111" t="s">
        <v>1967</v>
      </c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</row>
    <row r="121">
      <c r="A121" s="105">
        <v>46188.0</v>
      </c>
      <c r="B121" s="106" t="s">
        <v>1941</v>
      </c>
      <c r="C121" s="127" t="s">
        <v>352</v>
      </c>
      <c r="D121" s="106">
        <v>10.0</v>
      </c>
      <c r="E121" s="140">
        <v>3000.0</v>
      </c>
      <c r="F121" s="104"/>
      <c r="G121" s="111">
        <v>1500.0</v>
      </c>
      <c r="H121" s="111" t="s">
        <v>1968</v>
      </c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</row>
    <row r="122">
      <c r="A122" s="105">
        <v>46188.0</v>
      </c>
      <c r="B122" s="106" t="s">
        <v>74</v>
      </c>
      <c r="C122" s="127" t="s">
        <v>352</v>
      </c>
      <c r="D122" s="106">
        <v>6.0</v>
      </c>
      <c r="E122" s="140">
        <v>1800.0</v>
      </c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  <c r="AE122" s="104"/>
    </row>
    <row r="123">
      <c r="A123" s="105">
        <v>46188.0</v>
      </c>
      <c r="B123" s="106" t="s">
        <v>74</v>
      </c>
      <c r="C123" s="127" t="s">
        <v>1944</v>
      </c>
      <c r="D123" s="106">
        <v>4.0</v>
      </c>
      <c r="E123" s="140">
        <v>1200.0</v>
      </c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  <c r="AE123" s="104"/>
    </row>
    <row r="124">
      <c r="A124" s="167">
        <v>46188.0</v>
      </c>
      <c r="B124" s="133" t="s">
        <v>9</v>
      </c>
      <c r="C124" s="133" t="s">
        <v>1128</v>
      </c>
      <c r="D124" s="133">
        <v>9.0</v>
      </c>
      <c r="E124" s="140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  <c r="AC124" s="144"/>
      <c r="AD124" s="144"/>
      <c r="AE124" s="144"/>
    </row>
    <row r="125">
      <c r="A125" s="167">
        <v>46188.0</v>
      </c>
      <c r="B125" s="133" t="s">
        <v>1969</v>
      </c>
      <c r="C125" s="133" t="s">
        <v>1128</v>
      </c>
      <c r="D125" s="133">
        <v>4.0</v>
      </c>
      <c r="E125" s="140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44"/>
      <c r="AD125" s="144"/>
      <c r="AE125" s="144"/>
    </row>
    <row r="126">
      <c r="A126" s="105">
        <v>46189.0</v>
      </c>
      <c r="B126" s="106" t="s">
        <v>1941</v>
      </c>
      <c r="C126" s="106" t="s">
        <v>1432</v>
      </c>
      <c r="D126" s="106">
        <v>10.0</v>
      </c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  <c r="AE126" s="104"/>
    </row>
    <row r="127">
      <c r="A127" s="167">
        <v>46189.0</v>
      </c>
      <c r="B127" s="133" t="s">
        <v>9</v>
      </c>
      <c r="C127" s="133" t="s">
        <v>1128</v>
      </c>
      <c r="D127" s="133">
        <v>11.0</v>
      </c>
      <c r="E127" s="140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</row>
    <row r="128">
      <c r="A128" s="167">
        <v>46189.0</v>
      </c>
      <c r="B128" s="133" t="s">
        <v>1969</v>
      </c>
      <c r="C128" s="133" t="s">
        <v>1128</v>
      </c>
      <c r="D128" s="133">
        <v>4.0</v>
      </c>
      <c r="E128" s="140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  <c r="AC128" s="144"/>
      <c r="AD128" s="144"/>
      <c r="AE128" s="144"/>
    </row>
    <row r="129">
      <c r="A129" s="167">
        <v>46189.0</v>
      </c>
      <c r="B129" s="9" t="s">
        <v>769</v>
      </c>
      <c r="C129" s="127" t="s">
        <v>1944</v>
      </c>
      <c r="D129" s="106">
        <v>1.0</v>
      </c>
      <c r="E129" s="140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</row>
    <row r="130">
      <c r="A130" s="167">
        <v>46189.0</v>
      </c>
      <c r="B130" s="106" t="s">
        <v>1946</v>
      </c>
      <c r="C130" s="127" t="s">
        <v>1944</v>
      </c>
      <c r="D130" s="106">
        <v>5.0</v>
      </c>
      <c r="E130" s="140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  <c r="AE130" s="104"/>
    </row>
    <row r="131">
      <c r="A131" s="167">
        <v>46189.0</v>
      </c>
      <c r="B131" s="106" t="s">
        <v>74</v>
      </c>
      <c r="C131" s="127" t="s">
        <v>352</v>
      </c>
      <c r="D131" s="106">
        <v>6.0</v>
      </c>
      <c r="E131" s="140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  <c r="AE131" s="104"/>
    </row>
    <row r="132">
      <c r="A132" s="167">
        <v>46189.0</v>
      </c>
      <c r="B132" s="106" t="s">
        <v>74</v>
      </c>
      <c r="C132" s="127" t="s">
        <v>1944</v>
      </c>
      <c r="D132" s="106">
        <v>2.0</v>
      </c>
      <c r="E132" s="140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</row>
    <row r="133">
      <c r="A133" s="167">
        <v>46189.0</v>
      </c>
      <c r="B133" s="106" t="s">
        <v>1941</v>
      </c>
      <c r="C133" s="127" t="s">
        <v>352</v>
      </c>
      <c r="D133" s="106">
        <v>5.0</v>
      </c>
      <c r="E133" s="140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</row>
    <row r="134">
      <c r="A134" s="167">
        <v>46189.0</v>
      </c>
      <c r="B134" s="106" t="s">
        <v>1941</v>
      </c>
      <c r="C134" s="127" t="s">
        <v>1944</v>
      </c>
      <c r="D134" s="106">
        <v>5.0</v>
      </c>
      <c r="E134" s="140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</row>
    <row r="135">
      <c r="A135" s="105">
        <v>46190.0</v>
      </c>
      <c r="B135" s="106" t="s">
        <v>1956</v>
      </c>
      <c r="C135" s="106" t="s">
        <v>1432</v>
      </c>
      <c r="D135" s="168">
        <v>10.0</v>
      </c>
      <c r="E135" s="140">
        <v>3000.0</v>
      </c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  <c r="AE135" s="104"/>
    </row>
    <row r="136">
      <c r="A136" s="105">
        <v>46190.0</v>
      </c>
      <c r="B136" s="106" t="s">
        <v>1941</v>
      </c>
      <c r="C136" s="106" t="s">
        <v>1297</v>
      </c>
      <c r="D136" s="169">
        <v>3.0</v>
      </c>
      <c r="E136" s="140">
        <v>900.0</v>
      </c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</row>
    <row r="137">
      <c r="A137" s="105">
        <v>46190.0</v>
      </c>
      <c r="B137" s="106" t="s">
        <v>1941</v>
      </c>
      <c r="C137" s="106" t="s">
        <v>352</v>
      </c>
      <c r="D137" s="169">
        <v>7.0</v>
      </c>
      <c r="E137" s="140">
        <v>2100.0</v>
      </c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</row>
    <row r="138">
      <c r="A138" s="105">
        <v>46190.0</v>
      </c>
      <c r="B138" s="106" t="s">
        <v>74</v>
      </c>
      <c r="C138" s="106" t="s">
        <v>352</v>
      </c>
      <c r="D138" s="169">
        <v>3.0</v>
      </c>
      <c r="E138" s="140">
        <v>900.0</v>
      </c>
      <c r="F138" s="111">
        <v>8.0</v>
      </c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  <c r="AE138" s="104"/>
    </row>
    <row r="139">
      <c r="A139" s="105">
        <v>46190.0</v>
      </c>
      <c r="B139" s="106" t="s">
        <v>769</v>
      </c>
      <c r="C139" s="106" t="s">
        <v>1297</v>
      </c>
      <c r="D139" s="169">
        <v>5.0</v>
      </c>
      <c r="E139" s="140">
        <v>1500.0</v>
      </c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  <c r="AE139" s="104"/>
    </row>
    <row r="140">
      <c r="A140" s="105">
        <v>46190.0</v>
      </c>
      <c r="B140" s="106" t="s">
        <v>1946</v>
      </c>
      <c r="C140" s="106" t="s">
        <v>1297</v>
      </c>
      <c r="D140" s="169">
        <v>5.0</v>
      </c>
      <c r="E140" s="140">
        <v>1500.0</v>
      </c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</row>
    <row r="141">
      <c r="A141" s="105">
        <v>46190.0</v>
      </c>
      <c r="B141" s="133" t="s">
        <v>1969</v>
      </c>
      <c r="C141" s="133" t="s">
        <v>1128</v>
      </c>
      <c r="D141" s="106">
        <v>1.0</v>
      </c>
      <c r="E141" s="140">
        <v>300.0</v>
      </c>
      <c r="F141" s="104"/>
      <c r="G141" s="104"/>
      <c r="H141" s="104"/>
      <c r="I141" s="104"/>
      <c r="J141" s="170" t="s">
        <v>1970</v>
      </c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</row>
    <row r="142">
      <c r="A142" s="105">
        <v>46190.0</v>
      </c>
      <c r="B142" s="133" t="s">
        <v>1971</v>
      </c>
      <c r="C142" s="133" t="s">
        <v>1128</v>
      </c>
      <c r="D142" s="106">
        <v>8.0</v>
      </c>
      <c r="E142" s="140">
        <v>2400.0</v>
      </c>
      <c r="F142" s="104"/>
      <c r="G142" s="104"/>
      <c r="H142" s="104"/>
      <c r="I142" s="104"/>
      <c r="J142" s="170" t="s">
        <v>1970</v>
      </c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</row>
    <row r="143">
      <c r="A143" s="105">
        <v>46191.0</v>
      </c>
      <c r="B143" s="106" t="s">
        <v>1941</v>
      </c>
      <c r="C143" s="133" t="s">
        <v>1432</v>
      </c>
      <c r="D143" s="171">
        <v>10.0</v>
      </c>
      <c r="E143" s="140">
        <v>3000.0</v>
      </c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  <c r="AE143" s="104"/>
    </row>
    <row r="144">
      <c r="A144" s="105">
        <v>46191.0</v>
      </c>
      <c r="B144" s="106" t="s">
        <v>1941</v>
      </c>
      <c r="C144" s="106" t="s">
        <v>352</v>
      </c>
      <c r="D144" s="171">
        <v>5.0</v>
      </c>
      <c r="E144" s="140">
        <v>1500.0</v>
      </c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</row>
    <row r="145">
      <c r="A145" s="105">
        <v>46191.0</v>
      </c>
      <c r="B145" s="106" t="s">
        <v>1941</v>
      </c>
      <c r="C145" s="106" t="s">
        <v>1297</v>
      </c>
      <c r="D145" s="171">
        <v>6.0</v>
      </c>
      <c r="E145" s="140">
        <v>1800.0</v>
      </c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</row>
    <row r="146">
      <c r="A146" s="105">
        <v>46191.0</v>
      </c>
      <c r="B146" s="106" t="s">
        <v>74</v>
      </c>
      <c r="C146" s="106" t="s">
        <v>352</v>
      </c>
      <c r="D146" s="168">
        <v>5.0</v>
      </c>
      <c r="E146" s="140">
        <v>1500.0</v>
      </c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</row>
    <row r="147">
      <c r="A147" s="105">
        <v>46191.0</v>
      </c>
      <c r="B147" s="106" t="s">
        <v>1946</v>
      </c>
      <c r="C147" s="106" t="s">
        <v>1297</v>
      </c>
      <c r="D147" s="172">
        <v>5.0</v>
      </c>
      <c r="E147" s="140">
        <v>1500.0</v>
      </c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</row>
    <row r="148">
      <c r="A148" s="105">
        <v>46191.0</v>
      </c>
      <c r="B148" s="106" t="s">
        <v>769</v>
      </c>
      <c r="C148" s="106" t="s">
        <v>1432</v>
      </c>
      <c r="D148" s="131">
        <v>5.0</v>
      </c>
      <c r="E148" s="140">
        <v>1500.0</v>
      </c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  <c r="AE148" s="104"/>
    </row>
    <row r="149">
      <c r="A149" s="105">
        <v>46191.0</v>
      </c>
      <c r="B149" s="131" t="s">
        <v>749</v>
      </c>
      <c r="C149" s="131" t="s">
        <v>1432</v>
      </c>
      <c r="D149" s="131">
        <v>6.0</v>
      </c>
      <c r="E149" s="173">
        <v>1800.0</v>
      </c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</row>
    <row r="150">
      <c r="A150" s="105">
        <v>46191.0</v>
      </c>
      <c r="B150" s="133" t="s">
        <v>1972</v>
      </c>
      <c r="C150" s="133" t="s">
        <v>1128</v>
      </c>
      <c r="D150" s="174">
        <v>9.0</v>
      </c>
      <c r="E150" s="175">
        <v>2700.0</v>
      </c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</row>
    <row r="151">
      <c r="A151" s="105">
        <v>46192.0</v>
      </c>
      <c r="B151" s="106" t="s">
        <v>749</v>
      </c>
      <c r="C151" s="106" t="s">
        <v>1432</v>
      </c>
      <c r="D151" s="106">
        <v>1.0</v>
      </c>
      <c r="E151" s="165">
        <v>300.0</v>
      </c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</row>
    <row r="152">
      <c r="A152" s="105">
        <v>46192.0</v>
      </c>
      <c r="B152" s="106" t="s">
        <v>769</v>
      </c>
      <c r="C152" s="106" t="s">
        <v>1432</v>
      </c>
      <c r="D152" s="106">
        <v>7.0</v>
      </c>
      <c r="E152" s="140">
        <v>2100.0</v>
      </c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</row>
    <row r="153">
      <c r="A153" s="103"/>
      <c r="B153" s="103"/>
      <c r="C153" s="103"/>
      <c r="D153" s="103"/>
      <c r="E153" s="140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04"/>
    </row>
    <row r="154">
      <c r="A154" s="103"/>
      <c r="B154" s="103"/>
      <c r="C154" s="103"/>
      <c r="D154" s="103"/>
      <c r="E154" s="140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</row>
    <row r="155">
      <c r="A155" s="103"/>
      <c r="B155" s="103"/>
      <c r="C155" s="103"/>
      <c r="D155" s="103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</row>
    <row r="156">
      <c r="A156" s="103"/>
      <c r="B156" s="103"/>
      <c r="C156" s="103"/>
      <c r="D156" s="103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  <c r="AE156" s="104"/>
    </row>
    <row r="157">
      <c r="A157" s="103"/>
      <c r="B157" s="103"/>
      <c r="C157" s="103"/>
      <c r="D157" s="103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04"/>
    </row>
    <row r="158">
      <c r="A158" s="103"/>
      <c r="B158" s="103"/>
      <c r="C158" s="103"/>
      <c r="D158" s="103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  <c r="AE158" s="104"/>
    </row>
    <row r="159">
      <c r="A159" s="103"/>
      <c r="B159" s="103"/>
      <c r="C159" s="103"/>
      <c r="D159" s="103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</row>
    <row r="160">
      <c r="A160" s="103"/>
      <c r="B160" s="103"/>
      <c r="C160" s="103"/>
      <c r="D160" s="103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</row>
    <row r="161">
      <c r="A161" s="103"/>
      <c r="B161" s="103"/>
      <c r="C161" s="103"/>
      <c r="D161" s="103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  <c r="AE161" s="104"/>
    </row>
    <row r="162">
      <c r="A162" s="103"/>
      <c r="B162" s="103"/>
      <c r="C162" s="103"/>
      <c r="D162" s="103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  <c r="AE162" s="104"/>
    </row>
    <row r="163">
      <c r="A163" s="103"/>
      <c r="B163" s="103"/>
      <c r="C163" s="103"/>
      <c r="D163" s="103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  <c r="AE163" s="104"/>
    </row>
    <row r="164">
      <c r="A164" s="103"/>
      <c r="B164" s="103"/>
      <c r="C164" s="103"/>
      <c r="D164" s="103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  <c r="AE164" s="104"/>
    </row>
    <row r="165">
      <c r="A165" s="103"/>
      <c r="B165" s="103"/>
      <c r="C165" s="103"/>
      <c r="D165" s="103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  <c r="AE165" s="104"/>
    </row>
    <row r="166">
      <c r="A166" s="103"/>
      <c r="B166" s="103"/>
      <c r="C166" s="103"/>
      <c r="D166" s="103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</row>
    <row r="167">
      <c r="A167" s="103"/>
      <c r="B167" s="103"/>
      <c r="C167" s="103"/>
      <c r="D167" s="103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</row>
    <row r="168">
      <c r="A168" s="103"/>
      <c r="B168" s="103"/>
      <c r="C168" s="103"/>
      <c r="D168" s="103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</row>
    <row r="169">
      <c r="A169" s="103"/>
      <c r="B169" s="103"/>
      <c r="C169" s="103"/>
      <c r="D169" s="103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</row>
    <row r="170">
      <c r="A170" s="103"/>
      <c r="B170" s="103"/>
      <c r="C170" s="103"/>
      <c r="D170" s="103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</row>
    <row r="171">
      <c r="A171" s="103"/>
      <c r="B171" s="103"/>
      <c r="C171" s="103"/>
      <c r="D171" s="103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</row>
    <row r="172">
      <c r="A172" s="103"/>
      <c r="B172" s="103"/>
      <c r="C172" s="103"/>
      <c r="D172" s="103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  <c r="AE172" s="104"/>
    </row>
    <row r="173">
      <c r="A173" s="103"/>
      <c r="B173" s="103"/>
      <c r="C173" s="103"/>
      <c r="D173" s="103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  <c r="AE173" s="104"/>
    </row>
    <row r="174">
      <c r="A174" s="103"/>
      <c r="B174" s="103"/>
      <c r="C174" s="103"/>
      <c r="D174" s="103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  <c r="AE174" s="104"/>
    </row>
    <row r="175">
      <c r="A175" s="103"/>
      <c r="B175" s="103"/>
      <c r="C175" s="103"/>
      <c r="D175" s="103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  <c r="AE175" s="104"/>
    </row>
    <row r="176">
      <c r="A176" s="103"/>
      <c r="B176" s="103"/>
      <c r="C176" s="103"/>
      <c r="D176" s="103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  <c r="AE176" s="104"/>
    </row>
    <row r="177">
      <c r="A177" s="103"/>
      <c r="B177" s="103"/>
      <c r="C177" s="103"/>
      <c r="D177" s="103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  <c r="AE177" s="104"/>
    </row>
    <row r="178">
      <c r="A178" s="103"/>
      <c r="B178" s="103"/>
      <c r="C178" s="103"/>
      <c r="D178" s="103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</row>
    <row r="179">
      <c r="A179" s="103"/>
      <c r="B179" s="103"/>
      <c r="C179" s="103"/>
      <c r="D179" s="103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  <c r="AE179" s="104"/>
    </row>
    <row r="180">
      <c r="A180" s="103"/>
      <c r="B180" s="103"/>
      <c r="C180" s="103"/>
      <c r="D180" s="103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  <c r="AE180" s="104"/>
    </row>
    <row r="181">
      <c r="A181" s="103"/>
      <c r="B181" s="103"/>
      <c r="C181" s="103"/>
      <c r="D181" s="103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  <c r="AE181" s="104"/>
    </row>
    <row r="182">
      <c r="A182" s="103"/>
      <c r="B182" s="103"/>
      <c r="C182" s="103"/>
      <c r="D182" s="103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</row>
    <row r="183">
      <c r="A183" s="103"/>
      <c r="B183" s="103"/>
      <c r="C183" s="103"/>
      <c r="D183" s="103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</row>
    <row r="184">
      <c r="A184" s="103"/>
      <c r="B184" s="103"/>
      <c r="C184" s="103"/>
      <c r="D184" s="103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  <c r="AE184" s="104"/>
    </row>
    <row r="185">
      <c r="A185" s="103"/>
      <c r="B185" s="103"/>
      <c r="C185" s="103"/>
      <c r="D185" s="103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  <c r="AE185" s="104"/>
    </row>
    <row r="186">
      <c r="A186" s="103"/>
      <c r="B186" s="103"/>
      <c r="C186" s="103"/>
      <c r="D186" s="103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  <c r="AE186" s="104"/>
    </row>
    <row r="187">
      <c r="A187" s="103"/>
      <c r="B187" s="103"/>
      <c r="C187" s="103"/>
      <c r="D187" s="103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  <c r="AE187" s="104"/>
    </row>
    <row r="188">
      <c r="A188" s="103"/>
      <c r="B188" s="103"/>
      <c r="C188" s="103"/>
      <c r="D188" s="103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  <c r="AE188" s="104"/>
    </row>
    <row r="189">
      <c r="A189" s="103"/>
      <c r="B189" s="103"/>
      <c r="C189" s="103"/>
      <c r="D189" s="103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04"/>
    </row>
    <row r="190">
      <c r="A190" s="103"/>
      <c r="B190" s="103"/>
      <c r="C190" s="103"/>
      <c r="D190" s="103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  <c r="AE190" s="104"/>
    </row>
    <row r="191">
      <c r="A191" s="103"/>
      <c r="B191" s="103"/>
      <c r="C191" s="103"/>
      <c r="D191" s="103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  <c r="AE191" s="104"/>
    </row>
    <row r="192">
      <c r="A192" s="103"/>
      <c r="B192" s="103"/>
      <c r="C192" s="103"/>
      <c r="D192" s="103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  <c r="AE192" s="104"/>
    </row>
    <row r="193">
      <c r="A193" s="103"/>
      <c r="B193" s="103"/>
      <c r="C193" s="103"/>
      <c r="D193" s="103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  <c r="AE193" s="104"/>
    </row>
    <row r="194">
      <c r="A194" s="103"/>
      <c r="B194" s="103"/>
      <c r="C194" s="103"/>
      <c r="D194" s="103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  <c r="AE194" s="104"/>
    </row>
    <row r="195">
      <c r="A195" s="103"/>
      <c r="B195" s="103"/>
      <c r="C195" s="103"/>
      <c r="D195" s="103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  <c r="AE195" s="104"/>
    </row>
    <row r="196">
      <c r="A196" s="103"/>
      <c r="B196" s="103"/>
      <c r="C196" s="103"/>
      <c r="D196" s="103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  <c r="AE196" s="104"/>
    </row>
    <row r="197">
      <c r="A197" s="103"/>
      <c r="B197" s="103"/>
      <c r="C197" s="103"/>
      <c r="D197" s="103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  <c r="AE197" s="104"/>
    </row>
    <row r="198">
      <c r="A198" s="103"/>
      <c r="B198" s="103"/>
      <c r="C198" s="103"/>
      <c r="D198" s="103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  <c r="AE198" s="104"/>
    </row>
    <row r="199">
      <c r="A199" s="103"/>
      <c r="B199" s="103"/>
      <c r="C199" s="103"/>
      <c r="D199" s="103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  <c r="AE199" s="104"/>
    </row>
    <row r="200">
      <c r="A200" s="103"/>
      <c r="B200" s="103"/>
      <c r="C200" s="103"/>
      <c r="D200" s="103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04"/>
    </row>
    <row r="201">
      <c r="A201" s="103"/>
      <c r="B201" s="103"/>
      <c r="C201" s="103"/>
      <c r="D201" s="103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  <c r="AE201" s="104"/>
    </row>
    <row r="202">
      <c r="A202" s="103"/>
      <c r="B202" s="103"/>
      <c r="C202" s="103"/>
      <c r="D202" s="103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  <c r="AE202" s="104"/>
    </row>
    <row r="203">
      <c r="A203" s="103"/>
      <c r="B203" s="103"/>
      <c r="C203" s="103"/>
      <c r="D203" s="103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  <c r="AE203" s="104"/>
    </row>
    <row r="204">
      <c r="A204" s="103"/>
      <c r="B204" s="103"/>
      <c r="C204" s="103"/>
      <c r="D204" s="103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  <c r="AE204" s="104"/>
    </row>
    <row r="205">
      <c r="A205" s="103"/>
      <c r="B205" s="103"/>
      <c r="C205" s="103"/>
      <c r="D205" s="103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</row>
    <row r="206">
      <c r="A206" s="103"/>
      <c r="B206" s="103"/>
      <c r="C206" s="103"/>
      <c r="D206" s="103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</row>
    <row r="207">
      <c r="A207" s="103"/>
      <c r="B207" s="103"/>
      <c r="C207" s="103"/>
      <c r="D207" s="103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  <c r="AE207" s="104"/>
    </row>
    <row r="208">
      <c r="A208" s="103"/>
      <c r="B208" s="103"/>
      <c r="C208" s="103"/>
      <c r="D208" s="103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  <c r="AE208" s="104"/>
    </row>
    <row r="209">
      <c r="A209" s="103"/>
      <c r="B209" s="103"/>
      <c r="C209" s="103"/>
      <c r="D209" s="103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  <c r="AE209" s="104"/>
    </row>
    <row r="210">
      <c r="A210" s="103"/>
      <c r="B210" s="103"/>
      <c r="C210" s="103"/>
      <c r="D210" s="103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  <c r="AE210" s="104"/>
    </row>
    <row r="211">
      <c r="A211" s="103"/>
      <c r="B211" s="103"/>
      <c r="C211" s="103"/>
      <c r="D211" s="103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  <c r="AE211" s="104"/>
    </row>
    <row r="212">
      <c r="A212" s="103"/>
      <c r="B212" s="103"/>
      <c r="C212" s="103"/>
      <c r="D212" s="103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  <c r="AE212" s="104"/>
    </row>
    <row r="213">
      <c r="A213" s="103"/>
      <c r="B213" s="103"/>
      <c r="C213" s="103"/>
      <c r="D213" s="103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  <c r="AE213" s="104"/>
    </row>
    <row r="214">
      <c r="A214" s="103"/>
      <c r="B214" s="103"/>
      <c r="C214" s="103"/>
      <c r="D214" s="103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  <c r="AE214" s="104"/>
    </row>
    <row r="215">
      <c r="A215" s="103"/>
      <c r="B215" s="103"/>
      <c r="C215" s="103"/>
      <c r="D215" s="103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  <c r="AE215" s="104"/>
    </row>
    <row r="216">
      <c r="A216" s="103"/>
      <c r="B216" s="103"/>
      <c r="C216" s="103"/>
      <c r="D216" s="103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  <c r="AE216" s="104"/>
    </row>
    <row r="217">
      <c r="A217" s="103"/>
      <c r="B217" s="103"/>
      <c r="C217" s="103"/>
      <c r="D217" s="103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  <c r="AE217" s="104"/>
    </row>
    <row r="218">
      <c r="A218" s="103"/>
      <c r="B218" s="103"/>
      <c r="C218" s="103"/>
      <c r="D218" s="103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  <c r="AE218" s="104"/>
    </row>
    <row r="219">
      <c r="A219" s="103"/>
      <c r="B219" s="103"/>
      <c r="C219" s="103"/>
      <c r="D219" s="103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  <c r="AE219" s="104"/>
    </row>
    <row r="220">
      <c r="A220" s="103"/>
      <c r="B220" s="103"/>
      <c r="C220" s="103"/>
      <c r="D220" s="103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  <c r="AE220" s="104"/>
    </row>
    <row r="221">
      <c r="A221" s="103"/>
      <c r="B221" s="103"/>
      <c r="C221" s="103"/>
      <c r="D221" s="103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  <c r="AE221" s="104"/>
    </row>
    <row r="222">
      <c r="A222" s="103"/>
      <c r="B222" s="103"/>
      <c r="C222" s="103"/>
      <c r="D222" s="103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</row>
    <row r="223">
      <c r="A223" s="103"/>
      <c r="B223" s="103"/>
      <c r="C223" s="103"/>
      <c r="D223" s="103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  <c r="AE223" s="104"/>
    </row>
    <row r="224">
      <c r="A224" s="103"/>
      <c r="B224" s="103"/>
      <c r="C224" s="103"/>
      <c r="D224" s="103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  <c r="AE224" s="104"/>
    </row>
    <row r="225">
      <c r="A225" s="103"/>
      <c r="B225" s="103"/>
      <c r="C225" s="103"/>
      <c r="D225" s="103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  <c r="AE225" s="104"/>
    </row>
    <row r="226">
      <c r="A226" s="103"/>
      <c r="B226" s="103"/>
      <c r="C226" s="103"/>
      <c r="D226" s="103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  <c r="AE226" s="104"/>
    </row>
    <row r="227">
      <c r="A227" s="103"/>
      <c r="B227" s="103"/>
      <c r="C227" s="103"/>
      <c r="D227" s="103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  <c r="AE227" s="104"/>
    </row>
    <row r="228">
      <c r="A228" s="103"/>
      <c r="B228" s="103"/>
      <c r="C228" s="103"/>
      <c r="D228" s="103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</row>
    <row r="229">
      <c r="A229" s="103"/>
      <c r="B229" s="103"/>
      <c r="C229" s="103"/>
      <c r="D229" s="103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</row>
    <row r="230">
      <c r="A230" s="103"/>
      <c r="B230" s="103"/>
      <c r="C230" s="103"/>
      <c r="D230" s="103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</row>
    <row r="231">
      <c r="A231" s="103"/>
      <c r="B231" s="103"/>
      <c r="C231" s="103"/>
      <c r="D231" s="103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  <c r="AE231" s="104"/>
    </row>
    <row r="232">
      <c r="A232" s="103"/>
      <c r="B232" s="103"/>
      <c r="C232" s="103"/>
      <c r="D232" s="103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  <c r="AE232" s="104"/>
    </row>
    <row r="233">
      <c r="A233" s="103"/>
      <c r="B233" s="103"/>
      <c r="C233" s="103"/>
      <c r="D233" s="103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  <c r="AE233" s="104"/>
    </row>
    <row r="234">
      <c r="A234" s="103"/>
      <c r="B234" s="103"/>
      <c r="C234" s="103"/>
      <c r="D234" s="103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  <c r="AD234" s="104"/>
      <c r="AE234" s="104"/>
    </row>
    <row r="235">
      <c r="A235" s="103"/>
      <c r="B235" s="103"/>
      <c r="C235" s="103"/>
      <c r="D235" s="103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  <c r="AC235" s="104"/>
      <c r="AD235" s="104"/>
      <c r="AE235" s="104"/>
    </row>
    <row r="236">
      <c r="A236" s="103"/>
      <c r="B236" s="103"/>
      <c r="C236" s="103"/>
      <c r="D236" s="103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  <c r="AC236" s="104"/>
      <c r="AD236" s="104"/>
      <c r="AE236" s="104"/>
    </row>
    <row r="237">
      <c r="A237" s="103"/>
      <c r="B237" s="103"/>
      <c r="C237" s="103"/>
      <c r="D237" s="103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  <c r="AC237" s="104"/>
      <c r="AD237" s="104"/>
      <c r="AE237" s="104"/>
    </row>
    <row r="238">
      <c r="A238" s="103"/>
      <c r="B238" s="103"/>
      <c r="C238" s="103"/>
      <c r="D238" s="103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  <c r="AC238" s="104"/>
      <c r="AD238" s="104"/>
      <c r="AE238" s="104"/>
    </row>
    <row r="239">
      <c r="A239" s="103"/>
      <c r="B239" s="103"/>
      <c r="C239" s="103"/>
      <c r="D239" s="103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  <c r="AC239" s="104"/>
      <c r="AD239" s="104"/>
      <c r="AE239" s="104"/>
    </row>
    <row r="240">
      <c r="A240" s="103"/>
      <c r="B240" s="103"/>
      <c r="C240" s="103"/>
      <c r="D240" s="103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  <c r="AC240" s="104"/>
      <c r="AD240" s="104"/>
      <c r="AE240" s="104"/>
    </row>
    <row r="241">
      <c r="A241" s="103"/>
      <c r="B241" s="103"/>
      <c r="C241" s="103"/>
      <c r="D241" s="103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  <c r="AC241" s="104"/>
      <c r="AD241" s="104"/>
      <c r="AE241" s="104"/>
    </row>
    <row r="242">
      <c r="A242" s="103"/>
      <c r="B242" s="103"/>
      <c r="C242" s="103"/>
      <c r="D242" s="103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  <c r="AC242" s="104"/>
      <c r="AD242" s="104"/>
      <c r="AE242" s="104"/>
    </row>
    <row r="243">
      <c r="A243" s="103"/>
      <c r="B243" s="103"/>
      <c r="C243" s="103"/>
      <c r="D243" s="103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  <c r="AE243" s="104"/>
    </row>
    <row r="244">
      <c r="A244" s="103"/>
      <c r="B244" s="103"/>
      <c r="C244" s="103"/>
      <c r="D244" s="103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  <c r="AE244" s="104"/>
    </row>
    <row r="245">
      <c r="A245" s="103"/>
      <c r="B245" s="103"/>
      <c r="C245" s="103"/>
      <c r="D245" s="103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  <c r="AE245" s="104"/>
    </row>
    <row r="246">
      <c r="A246" s="103"/>
      <c r="B246" s="103"/>
      <c r="C246" s="103"/>
      <c r="D246" s="103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  <c r="AE246" s="104"/>
    </row>
    <row r="247">
      <c r="A247" s="103"/>
      <c r="B247" s="103"/>
      <c r="C247" s="103"/>
      <c r="D247" s="103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  <c r="AC247" s="104"/>
      <c r="AD247" s="104"/>
      <c r="AE247" s="104"/>
    </row>
    <row r="248">
      <c r="A248" s="103"/>
      <c r="B248" s="103"/>
      <c r="C248" s="103"/>
      <c r="D248" s="103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/>
      <c r="AD248" s="104"/>
      <c r="AE248" s="104"/>
    </row>
    <row r="249">
      <c r="A249" s="103"/>
      <c r="B249" s="103"/>
      <c r="C249" s="103"/>
      <c r="D249" s="103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  <c r="AC249" s="104"/>
      <c r="AD249" s="104"/>
      <c r="AE249" s="104"/>
    </row>
    <row r="250">
      <c r="A250" s="103"/>
      <c r="B250" s="103"/>
      <c r="C250" s="103"/>
      <c r="D250" s="103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  <c r="AD250" s="104"/>
      <c r="AE250" s="104"/>
    </row>
    <row r="251">
      <c r="A251" s="103"/>
      <c r="B251" s="103"/>
      <c r="C251" s="103"/>
      <c r="D251" s="103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</row>
    <row r="252">
      <c r="A252" s="103"/>
      <c r="B252" s="103"/>
      <c r="C252" s="103"/>
      <c r="D252" s="103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</row>
    <row r="253">
      <c r="A253" s="103"/>
      <c r="B253" s="103"/>
      <c r="C253" s="103"/>
      <c r="D253" s="103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  <c r="AC253" s="104"/>
      <c r="AD253" s="104"/>
      <c r="AE253" s="104"/>
    </row>
    <row r="254">
      <c r="A254" s="103"/>
      <c r="B254" s="103"/>
      <c r="C254" s="103"/>
      <c r="D254" s="103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  <c r="AC254" s="104"/>
      <c r="AD254" s="104"/>
      <c r="AE254" s="104"/>
    </row>
    <row r="255">
      <c r="A255" s="103"/>
      <c r="B255" s="103"/>
      <c r="C255" s="103"/>
      <c r="D255" s="103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  <c r="AC255" s="104"/>
      <c r="AD255" s="104"/>
      <c r="AE255" s="104"/>
    </row>
    <row r="256">
      <c r="A256" s="103"/>
      <c r="B256" s="103"/>
      <c r="C256" s="103"/>
      <c r="D256" s="103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  <c r="AD256" s="104"/>
      <c r="AE256" s="104"/>
    </row>
    <row r="257">
      <c r="A257" s="103"/>
      <c r="B257" s="103"/>
      <c r="C257" s="103"/>
      <c r="D257" s="103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  <c r="AC257" s="104"/>
      <c r="AD257" s="104"/>
      <c r="AE257" s="104"/>
    </row>
    <row r="258">
      <c r="A258" s="103"/>
      <c r="B258" s="103"/>
      <c r="C258" s="103"/>
      <c r="D258" s="103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  <c r="AC258" s="104"/>
      <c r="AD258" s="104"/>
      <c r="AE258" s="104"/>
    </row>
    <row r="259">
      <c r="A259" s="103"/>
      <c r="B259" s="103"/>
      <c r="C259" s="103"/>
      <c r="D259" s="103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  <c r="AD259" s="104"/>
      <c r="AE259" s="104"/>
    </row>
    <row r="260">
      <c r="A260" s="103"/>
      <c r="B260" s="103"/>
      <c r="C260" s="103"/>
      <c r="D260" s="103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  <c r="AC260" s="104"/>
      <c r="AD260" s="104"/>
      <c r="AE260" s="104"/>
    </row>
    <row r="261">
      <c r="A261" s="103"/>
      <c r="B261" s="103"/>
      <c r="C261" s="103"/>
      <c r="D261" s="103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  <c r="AC261" s="104"/>
      <c r="AD261" s="104"/>
      <c r="AE261" s="104"/>
    </row>
    <row r="262">
      <c r="A262" s="103"/>
      <c r="B262" s="103"/>
      <c r="C262" s="103"/>
      <c r="D262" s="103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  <c r="AC262" s="104"/>
      <c r="AD262" s="104"/>
      <c r="AE262" s="104"/>
    </row>
    <row r="263">
      <c r="A263" s="103"/>
      <c r="B263" s="103"/>
      <c r="C263" s="103"/>
      <c r="D263" s="103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  <c r="AC263" s="104"/>
      <c r="AD263" s="104"/>
      <c r="AE263" s="104"/>
    </row>
    <row r="264">
      <c r="A264" s="103"/>
      <c r="B264" s="103"/>
      <c r="C264" s="103"/>
      <c r="D264" s="103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  <c r="AC264" s="104"/>
      <c r="AD264" s="104"/>
      <c r="AE264" s="104"/>
    </row>
    <row r="265">
      <c r="A265" s="103"/>
      <c r="B265" s="103"/>
      <c r="C265" s="103"/>
      <c r="D265" s="103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  <c r="AD265" s="104"/>
      <c r="AE265" s="104"/>
    </row>
    <row r="266">
      <c r="A266" s="103"/>
      <c r="B266" s="103"/>
      <c r="C266" s="103"/>
      <c r="D266" s="103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  <c r="AD266" s="104"/>
      <c r="AE266" s="104"/>
    </row>
    <row r="267">
      <c r="A267" s="103"/>
      <c r="B267" s="103"/>
      <c r="C267" s="103"/>
      <c r="D267" s="103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  <c r="AC267" s="104"/>
      <c r="AD267" s="104"/>
      <c r="AE267" s="104"/>
    </row>
    <row r="268">
      <c r="A268" s="103"/>
      <c r="B268" s="103"/>
      <c r="C268" s="103"/>
      <c r="D268" s="103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  <c r="AC268" s="104"/>
      <c r="AD268" s="104"/>
      <c r="AE268" s="104"/>
    </row>
    <row r="269">
      <c r="A269" s="103"/>
      <c r="B269" s="103"/>
      <c r="C269" s="103"/>
      <c r="D269" s="103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  <c r="AC269" s="104"/>
      <c r="AD269" s="104"/>
      <c r="AE269" s="104"/>
    </row>
    <row r="270">
      <c r="A270" s="103"/>
      <c r="B270" s="103"/>
      <c r="C270" s="103"/>
      <c r="D270" s="103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  <c r="AE270" s="104"/>
    </row>
    <row r="271">
      <c r="A271" s="103"/>
      <c r="B271" s="103"/>
      <c r="C271" s="103"/>
      <c r="D271" s="103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  <c r="AE271" s="104"/>
    </row>
    <row r="272">
      <c r="A272" s="103"/>
      <c r="B272" s="103"/>
      <c r="C272" s="103"/>
      <c r="D272" s="103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  <c r="AC272" s="104"/>
      <c r="AD272" s="104"/>
      <c r="AE272" s="104"/>
    </row>
    <row r="273">
      <c r="A273" s="103"/>
      <c r="B273" s="103"/>
      <c r="C273" s="103"/>
      <c r="D273" s="103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  <c r="AE273" s="104"/>
    </row>
    <row r="274">
      <c r="A274" s="103"/>
      <c r="B274" s="103"/>
      <c r="C274" s="103"/>
      <c r="D274" s="103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</row>
    <row r="275">
      <c r="A275" s="103"/>
      <c r="B275" s="103"/>
      <c r="C275" s="103"/>
      <c r="D275" s="103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</row>
    <row r="276">
      <c r="A276" s="103"/>
      <c r="B276" s="103"/>
      <c r="C276" s="103"/>
      <c r="D276" s="103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4"/>
      <c r="AE276" s="104"/>
    </row>
    <row r="277">
      <c r="A277" s="103"/>
      <c r="B277" s="103"/>
      <c r="C277" s="103"/>
      <c r="D277" s="103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  <c r="AE277" s="104"/>
    </row>
    <row r="278">
      <c r="A278" s="103"/>
      <c r="B278" s="103"/>
      <c r="C278" s="103"/>
      <c r="D278" s="103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  <c r="AE278" s="104"/>
    </row>
    <row r="279">
      <c r="A279" s="103"/>
      <c r="B279" s="103"/>
      <c r="C279" s="103"/>
      <c r="D279" s="103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  <c r="AE279" s="104"/>
    </row>
    <row r="280">
      <c r="A280" s="103"/>
      <c r="B280" s="103"/>
      <c r="C280" s="103"/>
      <c r="D280" s="103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  <c r="AE280" s="104"/>
    </row>
    <row r="281">
      <c r="A281" s="103"/>
      <c r="B281" s="103"/>
      <c r="C281" s="103"/>
      <c r="D281" s="103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  <c r="AD281" s="104"/>
      <c r="AE281" s="104"/>
    </row>
    <row r="282">
      <c r="A282" s="103"/>
      <c r="B282" s="103"/>
      <c r="C282" s="103"/>
      <c r="D282" s="103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</row>
    <row r="283">
      <c r="A283" s="103"/>
      <c r="B283" s="103"/>
      <c r="C283" s="103"/>
      <c r="D283" s="103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  <c r="AE283" s="104"/>
    </row>
    <row r="284">
      <c r="A284" s="103"/>
      <c r="B284" s="103"/>
      <c r="C284" s="103"/>
      <c r="D284" s="103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  <c r="AD284" s="104"/>
      <c r="AE284" s="104"/>
    </row>
    <row r="285">
      <c r="A285" s="103"/>
      <c r="B285" s="103"/>
      <c r="C285" s="103"/>
      <c r="D285" s="103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/>
      <c r="AD285" s="104"/>
      <c r="AE285" s="104"/>
    </row>
    <row r="286">
      <c r="A286" s="103"/>
      <c r="B286" s="103"/>
      <c r="C286" s="103"/>
      <c r="D286" s="103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4"/>
      <c r="AE286" s="104"/>
    </row>
    <row r="287">
      <c r="A287" s="103"/>
      <c r="B287" s="103"/>
      <c r="C287" s="103"/>
      <c r="D287" s="103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4"/>
      <c r="AE287" s="104"/>
    </row>
    <row r="288">
      <c r="A288" s="103"/>
      <c r="B288" s="103"/>
      <c r="C288" s="103"/>
      <c r="D288" s="103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  <c r="AD288" s="104"/>
      <c r="AE288" s="104"/>
    </row>
    <row r="289">
      <c r="A289" s="103"/>
      <c r="B289" s="103"/>
      <c r="C289" s="103"/>
      <c r="D289" s="103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  <c r="AE289" s="104"/>
    </row>
    <row r="290">
      <c r="A290" s="103"/>
      <c r="B290" s="103"/>
      <c r="C290" s="103"/>
      <c r="D290" s="103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4"/>
      <c r="AE290" s="104"/>
    </row>
    <row r="291">
      <c r="A291" s="103"/>
      <c r="B291" s="103"/>
      <c r="C291" s="103"/>
      <c r="D291" s="103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  <c r="AD291" s="104"/>
      <c r="AE291" s="104"/>
    </row>
    <row r="292">
      <c r="A292" s="103"/>
      <c r="B292" s="103"/>
      <c r="C292" s="103"/>
      <c r="D292" s="103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  <c r="AD292" s="104"/>
      <c r="AE292" s="104"/>
    </row>
    <row r="293">
      <c r="A293" s="103"/>
      <c r="B293" s="103"/>
      <c r="C293" s="103"/>
      <c r="D293" s="103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  <c r="AE293" s="104"/>
    </row>
    <row r="294">
      <c r="A294" s="103"/>
      <c r="B294" s="103"/>
      <c r="C294" s="103"/>
      <c r="D294" s="103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  <c r="AE294" s="104"/>
    </row>
    <row r="295">
      <c r="A295" s="103"/>
      <c r="B295" s="103"/>
      <c r="C295" s="103"/>
      <c r="D295" s="103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  <c r="AE295" s="104"/>
    </row>
    <row r="296">
      <c r="A296" s="103"/>
      <c r="B296" s="103"/>
      <c r="C296" s="103"/>
      <c r="D296" s="103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  <c r="AE296" s="104"/>
    </row>
    <row r="297">
      <c r="A297" s="103"/>
      <c r="B297" s="103"/>
      <c r="C297" s="103"/>
      <c r="D297" s="103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</row>
    <row r="298">
      <c r="A298" s="103"/>
      <c r="B298" s="103"/>
      <c r="C298" s="103"/>
      <c r="D298" s="103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</row>
    <row r="299">
      <c r="A299" s="103"/>
      <c r="B299" s="103"/>
      <c r="C299" s="103"/>
      <c r="D299" s="103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  <c r="AD299" s="104"/>
      <c r="AE299" s="104"/>
    </row>
    <row r="300">
      <c r="A300" s="103"/>
      <c r="B300" s="103"/>
      <c r="C300" s="103"/>
      <c r="D300" s="103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  <c r="AE300" s="104"/>
    </row>
    <row r="301">
      <c r="A301" s="103"/>
      <c r="B301" s="103"/>
      <c r="C301" s="103"/>
      <c r="D301" s="103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  <c r="AD301" s="104"/>
      <c r="AE301" s="104"/>
    </row>
    <row r="302">
      <c r="A302" s="103"/>
      <c r="B302" s="103"/>
      <c r="C302" s="103"/>
      <c r="D302" s="103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  <c r="AD302" s="104"/>
      <c r="AE302" s="104"/>
    </row>
    <row r="303">
      <c r="A303" s="103"/>
      <c r="B303" s="103"/>
      <c r="C303" s="103"/>
      <c r="D303" s="103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  <c r="AE303" s="104"/>
    </row>
    <row r="304">
      <c r="A304" s="103"/>
      <c r="B304" s="103"/>
      <c r="C304" s="103"/>
      <c r="D304" s="103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  <c r="AD304" s="104"/>
      <c r="AE304" s="104"/>
    </row>
    <row r="305">
      <c r="A305" s="103"/>
      <c r="B305" s="103"/>
      <c r="C305" s="103"/>
      <c r="D305" s="103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  <c r="AE305" s="104"/>
    </row>
    <row r="306">
      <c r="A306" s="103"/>
      <c r="B306" s="103"/>
      <c r="C306" s="103"/>
      <c r="D306" s="103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  <c r="AC306" s="104"/>
      <c r="AD306" s="104"/>
      <c r="AE306" s="104"/>
    </row>
    <row r="307">
      <c r="A307" s="103"/>
      <c r="B307" s="103"/>
      <c r="C307" s="103"/>
      <c r="D307" s="103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  <c r="AC307" s="104"/>
      <c r="AD307" s="104"/>
      <c r="AE307" s="104"/>
    </row>
    <row r="308">
      <c r="A308" s="103"/>
      <c r="B308" s="103"/>
      <c r="C308" s="103"/>
      <c r="D308" s="103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  <c r="AC308" s="104"/>
      <c r="AD308" s="104"/>
      <c r="AE308" s="104"/>
    </row>
    <row r="309">
      <c r="A309" s="103"/>
      <c r="B309" s="103"/>
      <c r="C309" s="103"/>
      <c r="D309" s="103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  <c r="AC309" s="104"/>
      <c r="AD309" s="104"/>
      <c r="AE309" s="104"/>
    </row>
    <row r="310">
      <c r="A310" s="103"/>
      <c r="B310" s="103"/>
      <c r="C310" s="103"/>
      <c r="D310" s="103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  <c r="AC310" s="104"/>
      <c r="AD310" s="104"/>
      <c r="AE310" s="104"/>
    </row>
    <row r="311">
      <c r="A311" s="103"/>
      <c r="B311" s="103"/>
      <c r="C311" s="103"/>
      <c r="D311" s="103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  <c r="AC311" s="104"/>
      <c r="AD311" s="104"/>
      <c r="AE311" s="104"/>
    </row>
    <row r="312">
      <c r="A312" s="103"/>
      <c r="B312" s="103"/>
      <c r="C312" s="103"/>
      <c r="D312" s="103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  <c r="AC312" s="104"/>
      <c r="AD312" s="104"/>
      <c r="AE312" s="104"/>
    </row>
    <row r="313">
      <c r="A313" s="103"/>
      <c r="B313" s="103"/>
      <c r="C313" s="103"/>
      <c r="D313" s="103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  <c r="AD313" s="104"/>
      <c r="AE313" s="104"/>
    </row>
    <row r="314">
      <c r="A314" s="103"/>
      <c r="B314" s="103"/>
      <c r="C314" s="103"/>
      <c r="D314" s="103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  <c r="AD314" s="104"/>
      <c r="AE314" s="104"/>
    </row>
    <row r="315">
      <c r="A315" s="103"/>
      <c r="B315" s="103"/>
      <c r="C315" s="103"/>
      <c r="D315" s="103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  <c r="AE315" s="104"/>
    </row>
    <row r="316">
      <c r="A316" s="103"/>
      <c r="B316" s="103"/>
      <c r="C316" s="103"/>
      <c r="D316" s="103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  <c r="AD316" s="104"/>
      <c r="AE316" s="104"/>
    </row>
    <row r="317">
      <c r="A317" s="103"/>
      <c r="B317" s="103"/>
      <c r="C317" s="103"/>
      <c r="D317" s="103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  <c r="AD317" s="104"/>
      <c r="AE317" s="104"/>
    </row>
    <row r="318">
      <c r="A318" s="103"/>
      <c r="B318" s="103"/>
      <c r="C318" s="103"/>
      <c r="D318" s="103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  <c r="AD318" s="104"/>
      <c r="AE318" s="104"/>
    </row>
    <row r="319">
      <c r="A319" s="103"/>
      <c r="B319" s="103"/>
      <c r="C319" s="103"/>
      <c r="D319" s="103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  <c r="AD319" s="104"/>
      <c r="AE319" s="104"/>
    </row>
    <row r="320">
      <c r="A320" s="103"/>
      <c r="B320" s="103"/>
      <c r="C320" s="103"/>
      <c r="D320" s="103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</row>
    <row r="321">
      <c r="A321" s="103"/>
      <c r="B321" s="103"/>
      <c r="C321" s="103"/>
      <c r="D321" s="103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</row>
    <row r="322">
      <c r="A322" s="103"/>
      <c r="B322" s="103"/>
      <c r="C322" s="103"/>
      <c r="D322" s="103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  <c r="AD322" s="104"/>
      <c r="AE322" s="104"/>
    </row>
    <row r="323">
      <c r="A323" s="103"/>
      <c r="B323" s="103"/>
      <c r="C323" s="103"/>
      <c r="D323" s="103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  <c r="AD323" s="104"/>
      <c r="AE323" s="104"/>
    </row>
    <row r="324">
      <c r="A324" s="103"/>
      <c r="B324" s="103"/>
      <c r="C324" s="103"/>
      <c r="D324" s="103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  <c r="AD324" s="104"/>
      <c r="AE324" s="104"/>
    </row>
    <row r="325">
      <c r="A325" s="103"/>
      <c r="B325" s="103"/>
      <c r="C325" s="103"/>
      <c r="D325" s="103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  <c r="AD325" s="104"/>
      <c r="AE325" s="104"/>
    </row>
    <row r="326">
      <c r="A326" s="103"/>
      <c r="B326" s="103"/>
      <c r="C326" s="103"/>
      <c r="D326" s="103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  <c r="AD326" s="104"/>
      <c r="AE326" s="104"/>
    </row>
    <row r="327">
      <c r="A327" s="103"/>
      <c r="B327" s="103"/>
      <c r="C327" s="103"/>
      <c r="D327" s="103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  <c r="AD327" s="104"/>
      <c r="AE327" s="104"/>
    </row>
    <row r="328">
      <c r="A328" s="103"/>
      <c r="B328" s="103"/>
      <c r="C328" s="103"/>
      <c r="D328" s="103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  <c r="AD328" s="104"/>
      <c r="AE328" s="104"/>
    </row>
    <row r="329">
      <c r="A329" s="103"/>
      <c r="B329" s="103"/>
      <c r="C329" s="103"/>
      <c r="D329" s="103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  <c r="AE329" s="104"/>
    </row>
    <row r="330">
      <c r="A330" s="103"/>
      <c r="B330" s="103"/>
      <c r="C330" s="103"/>
      <c r="D330" s="103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  <c r="AE330" s="104"/>
    </row>
    <row r="331">
      <c r="A331" s="103"/>
      <c r="B331" s="103"/>
      <c r="C331" s="103"/>
      <c r="D331" s="103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  <c r="AE331" s="104"/>
    </row>
    <row r="332">
      <c r="A332" s="103"/>
      <c r="B332" s="103"/>
      <c r="C332" s="103"/>
      <c r="D332" s="103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  <c r="AD332" s="104"/>
      <c r="AE332" s="104"/>
    </row>
    <row r="333">
      <c r="A333" s="103"/>
      <c r="B333" s="103"/>
      <c r="C333" s="103"/>
      <c r="D333" s="103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  <c r="AD333" s="104"/>
      <c r="AE333" s="104"/>
    </row>
    <row r="334">
      <c r="A334" s="103"/>
      <c r="B334" s="103"/>
      <c r="C334" s="103"/>
      <c r="D334" s="103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</row>
    <row r="335">
      <c r="A335" s="103"/>
      <c r="B335" s="103"/>
      <c r="C335" s="103"/>
      <c r="D335" s="103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  <c r="AD335" s="104"/>
      <c r="AE335" s="104"/>
    </row>
    <row r="336">
      <c r="A336" s="103"/>
      <c r="B336" s="103"/>
      <c r="C336" s="103"/>
      <c r="D336" s="103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  <c r="AD336" s="104"/>
      <c r="AE336" s="104"/>
    </row>
    <row r="337">
      <c r="A337" s="103"/>
      <c r="B337" s="103"/>
      <c r="C337" s="103"/>
      <c r="D337" s="103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  <c r="AD337" s="104"/>
      <c r="AE337" s="104"/>
    </row>
    <row r="338">
      <c r="A338" s="103"/>
      <c r="B338" s="103"/>
      <c r="C338" s="103"/>
      <c r="D338" s="103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  <c r="AE338" s="104"/>
    </row>
    <row r="339">
      <c r="A339" s="103"/>
      <c r="B339" s="103"/>
      <c r="C339" s="103"/>
      <c r="D339" s="103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  <c r="AD339" s="104"/>
      <c r="AE339" s="104"/>
    </row>
    <row r="340">
      <c r="A340" s="103"/>
      <c r="B340" s="103"/>
      <c r="C340" s="103"/>
      <c r="D340" s="103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  <c r="AD340" s="104"/>
      <c r="AE340" s="104"/>
    </row>
    <row r="341">
      <c r="A341" s="103"/>
      <c r="B341" s="103"/>
      <c r="C341" s="103"/>
      <c r="D341" s="103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104"/>
      <c r="AE341" s="104"/>
    </row>
    <row r="342">
      <c r="A342" s="103"/>
      <c r="B342" s="103"/>
      <c r="C342" s="103"/>
      <c r="D342" s="103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  <c r="AD342" s="104"/>
      <c r="AE342" s="104"/>
    </row>
    <row r="343">
      <c r="A343" s="103"/>
      <c r="B343" s="103"/>
      <c r="C343" s="103"/>
      <c r="D343" s="103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</row>
    <row r="344">
      <c r="A344" s="103"/>
      <c r="B344" s="103"/>
      <c r="C344" s="103"/>
      <c r="D344" s="103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</row>
    <row r="345">
      <c r="A345" s="103"/>
      <c r="B345" s="103"/>
      <c r="C345" s="103"/>
      <c r="D345" s="103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  <c r="AC345" s="104"/>
      <c r="AD345" s="104"/>
      <c r="AE345" s="104"/>
    </row>
    <row r="346">
      <c r="A346" s="103"/>
      <c r="B346" s="103"/>
      <c r="C346" s="103"/>
      <c r="D346" s="103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  <c r="AC346" s="104"/>
      <c r="AD346" s="104"/>
      <c r="AE346" s="104"/>
    </row>
    <row r="347">
      <c r="A347" s="103"/>
      <c r="B347" s="103"/>
      <c r="C347" s="103"/>
      <c r="D347" s="103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  <c r="AC347" s="104"/>
      <c r="AD347" s="104"/>
      <c r="AE347" s="104"/>
    </row>
    <row r="348">
      <c r="A348" s="103"/>
      <c r="B348" s="103"/>
      <c r="C348" s="103"/>
      <c r="D348" s="103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  <c r="AC348" s="104"/>
      <c r="AD348" s="104"/>
      <c r="AE348" s="104"/>
    </row>
    <row r="349">
      <c r="A349" s="103"/>
      <c r="B349" s="103"/>
      <c r="C349" s="103"/>
      <c r="D349" s="103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  <c r="AC349" s="104"/>
      <c r="AD349" s="104"/>
      <c r="AE349" s="104"/>
    </row>
    <row r="350">
      <c r="A350" s="103"/>
      <c r="B350" s="103"/>
      <c r="C350" s="103"/>
      <c r="D350" s="103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  <c r="AC350" s="104"/>
      <c r="AD350" s="104"/>
      <c r="AE350" s="104"/>
    </row>
    <row r="351">
      <c r="A351" s="103"/>
      <c r="B351" s="103"/>
      <c r="C351" s="103"/>
      <c r="D351" s="103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  <c r="AC351" s="104"/>
      <c r="AD351" s="104"/>
      <c r="AE351" s="104"/>
    </row>
    <row r="352">
      <c r="A352" s="103"/>
      <c r="B352" s="103"/>
      <c r="C352" s="103"/>
      <c r="D352" s="103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  <c r="AC352" s="104"/>
      <c r="AD352" s="104"/>
      <c r="AE352" s="104"/>
    </row>
    <row r="353">
      <c r="A353" s="103"/>
      <c r="B353" s="103"/>
      <c r="C353" s="103"/>
      <c r="D353" s="103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  <c r="AC353" s="104"/>
      <c r="AD353" s="104"/>
      <c r="AE353" s="104"/>
    </row>
    <row r="354">
      <c r="A354" s="103"/>
      <c r="B354" s="103"/>
      <c r="C354" s="103"/>
      <c r="D354" s="103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  <c r="AC354" s="104"/>
      <c r="AD354" s="104"/>
      <c r="AE354" s="104"/>
    </row>
    <row r="355">
      <c r="A355" s="103"/>
      <c r="B355" s="103"/>
      <c r="C355" s="103"/>
      <c r="D355" s="103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  <c r="AC355" s="104"/>
      <c r="AD355" s="104"/>
      <c r="AE355" s="104"/>
    </row>
    <row r="356">
      <c r="A356" s="103"/>
      <c r="B356" s="103"/>
      <c r="C356" s="103"/>
      <c r="D356" s="103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  <c r="AC356" s="104"/>
      <c r="AD356" s="104"/>
      <c r="AE356" s="104"/>
    </row>
    <row r="357">
      <c r="A357" s="103"/>
      <c r="B357" s="103"/>
      <c r="C357" s="103"/>
      <c r="D357" s="103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  <c r="AC357" s="104"/>
      <c r="AD357" s="104"/>
      <c r="AE357" s="104"/>
    </row>
    <row r="358">
      <c r="A358" s="103"/>
      <c r="B358" s="103"/>
      <c r="C358" s="103"/>
      <c r="D358" s="103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  <c r="AC358" s="104"/>
      <c r="AD358" s="104"/>
      <c r="AE358" s="104"/>
    </row>
    <row r="359">
      <c r="A359" s="103"/>
      <c r="B359" s="103"/>
      <c r="C359" s="103"/>
      <c r="D359" s="103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  <c r="AC359" s="104"/>
      <c r="AD359" s="104"/>
      <c r="AE359" s="104"/>
    </row>
    <row r="360">
      <c r="A360" s="103"/>
      <c r="B360" s="103"/>
      <c r="C360" s="103"/>
      <c r="D360" s="103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  <c r="AC360" s="104"/>
      <c r="AD360" s="104"/>
      <c r="AE360" s="104"/>
    </row>
    <row r="361">
      <c r="A361" s="103"/>
      <c r="B361" s="103"/>
      <c r="C361" s="103"/>
      <c r="D361" s="103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  <c r="AC361" s="104"/>
      <c r="AD361" s="104"/>
      <c r="AE361" s="104"/>
    </row>
    <row r="362">
      <c r="A362" s="103"/>
      <c r="B362" s="103"/>
      <c r="C362" s="103"/>
      <c r="D362" s="103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  <c r="AC362" s="104"/>
      <c r="AD362" s="104"/>
      <c r="AE362" s="104"/>
    </row>
    <row r="363">
      <c r="A363" s="103"/>
      <c r="B363" s="103"/>
      <c r="C363" s="103"/>
      <c r="D363" s="103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  <c r="AC363" s="104"/>
      <c r="AD363" s="104"/>
      <c r="AE363" s="104"/>
    </row>
    <row r="364">
      <c r="A364" s="103"/>
      <c r="B364" s="103"/>
      <c r="C364" s="103"/>
      <c r="D364" s="103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  <c r="AC364" s="104"/>
      <c r="AD364" s="104"/>
      <c r="AE364" s="104"/>
    </row>
    <row r="365">
      <c r="A365" s="103"/>
      <c r="B365" s="103"/>
      <c r="C365" s="103"/>
      <c r="D365" s="103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  <c r="AC365" s="104"/>
      <c r="AD365" s="104"/>
      <c r="AE365" s="104"/>
    </row>
    <row r="366">
      <c r="A366" s="103"/>
      <c r="B366" s="103"/>
      <c r="C366" s="103"/>
      <c r="D366" s="103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</row>
    <row r="367">
      <c r="A367" s="103"/>
      <c r="B367" s="103"/>
      <c r="C367" s="103"/>
      <c r="D367" s="103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</row>
    <row r="368">
      <c r="A368" s="103"/>
      <c r="B368" s="103"/>
      <c r="C368" s="103"/>
      <c r="D368" s="103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  <c r="AC368" s="104"/>
      <c r="AD368" s="104"/>
      <c r="AE368" s="104"/>
    </row>
    <row r="369">
      <c r="A369" s="103"/>
      <c r="B369" s="103"/>
      <c r="C369" s="103"/>
      <c r="D369" s="103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  <c r="AC369" s="104"/>
      <c r="AD369" s="104"/>
      <c r="AE369" s="104"/>
    </row>
    <row r="370">
      <c r="A370" s="103"/>
      <c r="B370" s="103"/>
      <c r="C370" s="103"/>
      <c r="D370" s="103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  <c r="AC370" s="104"/>
      <c r="AD370" s="104"/>
      <c r="AE370" s="104"/>
    </row>
    <row r="371">
      <c r="A371" s="103"/>
      <c r="B371" s="103"/>
      <c r="C371" s="103"/>
      <c r="D371" s="103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  <c r="AD371" s="104"/>
      <c r="AE371" s="104"/>
    </row>
    <row r="372">
      <c r="A372" s="103"/>
      <c r="B372" s="103"/>
      <c r="C372" s="103"/>
      <c r="D372" s="103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  <c r="AC372" s="104"/>
      <c r="AD372" s="104"/>
      <c r="AE372" s="104"/>
    </row>
    <row r="373">
      <c r="A373" s="103"/>
      <c r="B373" s="103"/>
      <c r="C373" s="103"/>
      <c r="D373" s="103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  <c r="AC373" s="104"/>
      <c r="AD373" s="104"/>
      <c r="AE373" s="104"/>
    </row>
    <row r="374">
      <c r="A374" s="103"/>
      <c r="B374" s="103"/>
      <c r="C374" s="103"/>
      <c r="D374" s="103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/>
      <c r="AD374" s="104"/>
      <c r="AE374" s="104"/>
    </row>
    <row r="375">
      <c r="A375" s="103"/>
      <c r="B375" s="103"/>
      <c r="C375" s="103"/>
      <c r="D375" s="103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  <c r="AC375" s="104"/>
      <c r="AD375" s="104"/>
      <c r="AE375" s="104"/>
    </row>
    <row r="376">
      <c r="A376" s="103"/>
      <c r="B376" s="103"/>
      <c r="C376" s="103"/>
      <c r="D376" s="103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  <c r="AC376" s="104"/>
      <c r="AD376" s="104"/>
      <c r="AE376" s="104"/>
    </row>
    <row r="377">
      <c r="A377" s="103"/>
      <c r="B377" s="103"/>
      <c r="C377" s="103"/>
      <c r="D377" s="103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  <c r="AC377" s="104"/>
      <c r="AD377" s="104"/>
      <c r="AE377" s="104"/>
    </row>
    <row r="378">
      <c r="A378" s="103"/>
      <c r="B378" s="103"/>
      <c r="C378" s="103"/>
      <c r="D378" s="103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  <c r="AC378" s="104"/>
      <c r="AD378" s="104"/>
      <c r="AE378" s="104"/>
    </row>
    <row r="379">
      <c r="A379" s="103"/>
      <c r="B379" s="103"/>
      <c r="C379" s="103"/>
      <c r="D379" s="103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  <c r="AC379" s="104"/>
      <c r="AD379" s="104"/>
      <c r="AE379" s="104"/>
    </row>
    <row r="380">
      <c r="A380" s="103"/>
      <c r="B380" s="103"/>
      <c r="C380" s="103"/>
      <c r="D380" s="103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  <c r="AD380" s="104"/>
      <c r="AE380" s="104"/>
    </row>
    <row r="381">
      <c r="A381" s="103"/>
      <c r="B381" s="103"/>
      <c r="C381" s="103"/>
      <c r="D381" s="103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  <c r="AD381" s="104"/>
      <c r="AE381" s="104"/>
    </row>
    <row r="382">
      <c r="A382" s="103"/>
      <c r="B382" s="103"/>
      <c r="C382" s="103"/>
      <c r="D382" s="103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4"/>
      <c r="AE382" s="104"/>
    </row>
    <row r="383">
      <c r="A383" s="103"/>
      <c r="B383" s="103"/>
      <c r="C383" s="103"/>
      <c r="D383" s="103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  <c r="AD383" s="104"/>
      <c r="AE383" s="104"/>
    </row>
    <row r="384">
      <c r="A384" s="103"/>
      <c r="B384" s="103"/>
      <c r="C384" s="103"/>
      <c r="D384" s="103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  <c r="AD384" s="104"/>
      <c r="AE384" s="104"/>
    </row>
    <row r="385">
      <c r="A385" s="103"/>
      <c r="B385" s="103"/>
      <c r="C385" s="103"/>
      <c r="D385" s="103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  <c r="AD385" s="104"/>
      <c r="AE385" s="104"/>
    </row>
    <row r="386">
      <c r="A386" s="103"/>
      <c r="B386" s="103"/>
      <c r="C386" s="103"/>
      <c r="D386" s="103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</row>
    <row r="387">
      <c r="A387" s="103"/>
      <c r="B387" s="103"/>
      <c r="C387" s="103"/>
      <c r="D387" s="103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  <c r="AE387" s="104"/>
    </row>
    <row r="388">
      <c r="A388" s="103"/>
      <c r="B388" s="103"/>
      <c r="C388" s="103"/>
      <c r="D388" s="103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  <c r="AE388" s="104"/>
    </row>
    <row r="389">
      <c r="A389" s="103"/>
      <c r="B389" s="103"/>
      <c r="C389" s="103"/>
      <c r="D389" s="103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</row>
    <row r="390">
      <c r="A390" s="103"/>
      <c r="B390" s="103"/>
      <c r="C390" s="103"/>
      <c r="D390" s="103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</row>
    <row r="391">
      <c r="A391" s="103"/>
      <c r="B391" s="103"/>
      <c r="C391" s="103"/>
      <c r="D391" s="103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  <c r="AD391" s="104"/>
      <c r="AE391" s="104"/>
    </row>
    <row r="392">
      <c r="A392" s="103"/>
      <c r="B392" s="103"/>
      <c r="C392" s="103"/>
      <c r="D392" s="103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  <c r="AD392" s="104"/>
      <c r="AE392" s="104"/>
    </row>
    <row r="393">
      <c r="A393" s="103"/>
      <c r="B393" s="103"/>
      <c r="C393" s="103"/>
      <c r="D393" s="103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  <c r="AD393" s="104"/>
      <c r="AE393" s="104"/>
    </row>
    <row r="394">
      <c r="A394" s="103"/>
      <c r="B394" s="103"/>
      <c r="C394" s="103"/>
      <c r="D394" s="103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  <c r="AD394" s="104"/>
      <c r="AE394" s="104"/>
    </row>
    <row r="395">
      <c r="A395" s="103"/>
      <c r="B395" s="103"/>
      <c r="C395" s="103"/>
      <c r="D395" s="103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  <c r="AD395" s="104"/>
      <c r="AE395" s="104"/>
    </row>
    <row r="396">
      <c r="A396" s="103"/>
      <c r="B396" s="103"/>
      <c r="C396" s="103"/>
      <c r="D396" s="103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  <c r="AD396" s="104"/>
      <c r="AE396" s="104"/>
    </row>
    <row r="397">
      <c r="A397" s="103"/>
      <c r="B397" s="103"/>
      <c r="C397" s="103"/>
      <c r="D397" s="103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  <c r="AD397" s="104"/>
      <c r="AE397" s="104"/>
    </row>
    <row r="398">
      <c r="A398" s="103"/>
      <c r="B398" s="103"/>
      <c r="C398" s="103"/>
      <c r="D398" s="103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  <c r="AD398" s="104"/>
      <c r="AE398" s="104"/>
    </row>
    <row r="399">
      <c r="A399" s="103"/>
      <c r="B399" s="103"/>
      <c r="C399" s="103"/>
      <c r="D399" s="103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  <c r="AD399" s="104"/>
      <c r="AE399" s="104"/>
    </row>
    <row r="400">
      <c r="A400" s="103"/>
      <c r="B400" s="103"/>
      <c r="C400" s="103"/>
      <c r="D400" s="103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  <c r="AD400" s="104"/>
      <c r="AE400" s="104"/>
    </row>
    <row r="401">
      <c r="A401" s="103"/>
      <c r="B401" s="103"/>
      <c r="C401" s="103"/>
      <c r="D401" s="103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  <c r="AD401" s="104"/>
      <c r="AE401" s="104"/>
    </row>
    <row r="402">
      <c r="A402" s="103"/>
      <c r="B402" s="103"/>
      <c r="C402" s="103"/>
      <c r="D402" s="103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  <c r="AD402" s="104"/>
      <c r="AE402" s="104"/>
    </row>
    <row r="403">
      <c r="A403" s="103"/>
      <c r="B403" s="103"/>
      <c r="C403" s="103"/>
      <c r="D403" s="103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  <c r="AD403" s="104"/>
      <c r="AE403" s="104"/>
    </row>
    <row r="404">
      <c r="A404" s="103"/>
      <c r="B404" s="103"/>
      <c r="C404" s="103"/>
      <c r="D404" s="103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  <c r="AE404" s="104"/>
    </row>
    <row r="405">
      <c r="A405" s="103"/>
      <c r="B405" s="103"/>
      <c r="C405" s="103"/>
      <c r="D405" s="103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  <c r="AE405" s="104"/>
    </row>
    <row r="406">
      <c r="A406" s="103"/>
      <c r="B406" s="103"/>
      <c r="C406" s="103"/>
      <c r="D406" s="103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  <c r="AE406" s="104"/>
    </row>
    <row r="407">
      <c r="A407" s="103"/>
      <c r="B407" s="103"/>
      <c r="C407" s="103"/>
      <c r="D407" s="103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  <c r="AE407" s="104"/>
    </row>
    <row r="408">
      <c r="A408" s="103"/>
      <c r="B408" s="103"/>
      <c r="C408" s="103"/>
      <c r="D408" s="103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  <c r="AD408" s="104"/>
      <c r="AE408" s="104"/>
    </row>
    <row r="409">
      <c r="A409" s="103"/>
      <c r="B409" s="103"/>
      <c r="C409" s="103"/>
      <c r="D409" s="103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  <c r="AE409" s="104"/>
    </row>
    <row r="410">
      <c r="A410" s="103"/>
      <c r="B410" s="103"/>
      <c r="C410" s="103"/>
      <c r="D410" s="103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  <c r="AD410" s="104"/>
      <c r="AE410" s="104"/>
    </row>
    <row r="411">
      <c r="A411" s="103"/>
      <c r="B411" s="103"/>
      <c r="C411" s="103"/>
      <c r="D411" s="103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  <c r="AD411" s="104"/>
      <c r="AE411" s="104"/>
    </row>
    <row r="412">
      <c r="A412" s="103"/>
      <c r="B412" s="103"/>
      <c r="C412" s="103"/>
      <c r="D412" s="103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</row>
    <row r="413">
      <c r="A413" s="103"/>
      <c r="B413" s="103"/>
      <c r="C413" s="103"/>
      <c r="D413" s="103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</row>
    <row r="414">
      <c r="A414" s="103"/>
      <c r="B414" s="103"/>
      <c r="C414" s="103"/>
      <c r="D414" s="103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  <c r="AC414" s="104"/>
      <c r="AD414" s="104"/>
      <c r="AE414" s="104"/>
    </row>
    <row r="415">
      <c r="A415" s="103"/>
      <c r="B415" s="103"/>
      <c r="C415" s="103"/>
      <c r="D415" s="103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  <c r="AC415" s="104"/>
      <c r="AD415" s="104"/>
      <c r="AE415" s="104"/>
    </row>
    <row r="416">
      <c r="A416" s="103"/>
      <c r="B416" s="103"/>
      <c r="C416" s="103"/>
      <c r="D416" s="103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  <c r="AC416" s="104"/>
      <c r="AD416" s="104"/>
      <c r="AE416" s="104"/>
    </row>
    <row r="417">
      <c r="A417" s="103"/>
      <c r="B417" s="103"/>
      <c r="C417" s="103"/>
      <c r="D417" s="103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  <c r="AC417" s="104"/>
      <c r="AD417" s="104"/>
      <c r="AE417" s="104"/>
    </row>
    <row r="418">
      <c r="A418" s="103"/>
      <c r="B418" s="103"/>
      <c r="C418" s="103"/>
      <c r="D418" s="103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  <c r="AC418" s="104"/>
      <c r="AD418" s="104"/>
      <c r="AE418" s="104"/>
    </row>
    <row r="419">
      <c r="A419" s="103"/>
      <c r="B419" s="103"/>
      <c r="C419" s="103"/>
      <c r="D419" s="103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  <c r="AC419" s="104"/>
      <c r="AD419" s="104"/>
      <c r="AE419" s="104"/>
    </row>
    <row r="420">
      <c r="A420" s="103"/>
      <c r="B420" s="103"/>
      <c r="C420" s="103"/>
      <c r="D420" s="103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  <c r="AC420" s="104"/>
      <c r="AD420" s="104"/>
      <c r="AE420" s="104"/>
    </row>
    <row r="421">
      <c r="A421" s="103"/>
      <c r="B421" s="103"/>
      <c r="C421" s="103"/>
      <c r="D421" s="103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  <c r="AC421" s="104"/>
      <c r="AD421" s="104"/>
      <c r="AE421" s="104"/>
    </row>
    <row r="422">
      <c r="A422" s="103"/>
      <c r="B422" s="103"/>
      <c r="C422" s="103"/>
      <c r="D422" s="103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  <c r="AC422" s="104"/>
      <c r="AD422" s="104"/>
      <c r="AE422" s="104"/>
    </row>
    <row r="423">
      <c r="A423" s="103"/>
      <c r="B423" s="103"/>
      <c r="C423" s="103"/>
      <c r="D423" s="103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  <c r="AC423" s="104"/>
      <c r="AD423" s="104"/>
      <c r="AE423" s="104"/>
    </row>
    <row r="424">
      <c r="A424" s="103"/>
      <c r="B424" s="103"/>
      <c r="C424" s="103"/>
      <c r="D424" s="103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  <c r="AC424" s="104"/>
      <c r="AD424" s="104"/>
      <c r="AE424" s="104"/>
    </row>
    <row r="425">
      <c r="A425" s="103"/>
      <c r="B425" s="103"/>
      <c r="C425" s="103"/>
      <c r="D425" s="103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  <c r="AC425" s="104"/>
      <c r="AD425" s="104"/>
      <c r="AE425" s="104"/>
    </row>
    <row r="426">
      <c r="A426" s="103"/>
      <c r="B426" s="103"/>
      <c r="C426" s="103"/>
      <c r="D426" s="103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  <c r="AC426" s="104"/>
      <c r="AD426" s="104"/>
      <c r="AE426" s="104"/>
    </row>
    <row r="427">
      <c r="A427" s="103"/>
      <c r="B427" s="103"/>
      <c r="C427" s="103"/>
      <c r="D427" s="103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  <c r="AC427" s="104"/>
      <c r="AD427" s="104"/>
      <c r="AE427" s="104"/>
    </row>
    <row r="428">
      <c r="A428" s="103"/>
      <c r="B428" s="103"/>
      <c r="C428" s="103"/>
      <c r="D428" s="103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  <c r="AC428" s="104"/>
      <c r="AD428" s="104"/>
      <c r="AE428" s="104"/>
    </row>
    <row r="429">
      <c r="A429" s="103"/>
      <c r="B429" s="103"/>
      <c r="C429" s="103"/>
      <c r="D429" s="103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  <c r="AC429" s="104"/>
      <c r="AD429" s="104"/>
      <c r="AE429" s="104"/>
    </row>
    <row r="430">
      <c r="A430" s="103"/>
      <c r="B430" s="103"/>
      <c r="C430" s="103"/>
      <c r="D430" s="103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  <c r="AC430" s="104"/>
      <c r="AD430" s="104"/>
      <c r="AE430" s="104"/>
    </row>
    <row r="431">
      <c r="A431" s="103"/>
      <c r="B431" s="103"/>
      <c r="C431" s="103"/>
      <c r="D431" s="103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  <c r="AC431" s="104"/>
      <c r="AD431" s="104"/>
      <c r="AE431" s="104"/>
    </row>
    <row r="432">
      <c r="A432" s="103"/>
      <c r="B432" s="103"/>
      <c r="C432" s="103"/>
      <c r="D432" s="103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  <c r="AC432" s="104"/>
      <c r="AD432" s="104"/>
      <c r="AE432" s="104"/>
    </row>
    <row r="433">
      <c r="A433" s="103"/>
      <c r="B433" s="103"/>
      <c r="C433" s="103"/>
      <c r="D433" s="103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  <c r="AC433" s="104"/>
      <c r="AD433" s="104"/>
      <c r="AE433" s="104"/>
    </row>
    <row r="434">
      <c r="A434" s="103"/>
      <c r="B434" s="103"/>
      <c r="C434" s="103"/>
      <c r="D434" s="103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  <c r="AC434" s="104"/>
      <c r="AD434" s="104"/>
      <c r="AE434" s="104"/>
    </row>
    <row r="435">
      <c r="A435" s="103"/>
      <c r="B435" s="103"/>
      <c r="C435" s="103"/>
      <c r="D435" s="103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  <c r="AC435" s="104"/>
      <c r="AD435" s="104"/>
      <c r="AE435" s="104"/>
    </row>
    <row r="436">
      <c r="A436" s="103"/>
      <c r="B436" s="103"/>
      <c r="C436" s="103"/>
      <c r="D436" s="103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  <c r="AC436" s="104"/>
      <c r="AD436" s="104"/>
      <c r="AE436" s="104"/>
    </row>
    <row r="437">
      <c r="A437" s="103"/>
      <c r="B437" s="103"/>
      <c r="C437" s="103"/>
      <c r="D437" s="103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  <c r="AC437" s="104"/>
      <c r="AD437" s="104"/>
      <c r="AE437" s="104"/>
    </row>
    <row r="438">
      <c r="A438" s="103"/>
      <c r="B438" s="103"/>
      <c r="C438" s="103"/>
      <c r="D438" s="103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</row>
    <row r="439">
      <c r="A439" s="103"/>
      <c r="B439" s="103"/>
      <c r="C439" s="103"/>
      <c r="D439" s="103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  <c r="AC439" s="104"/>
      <c r="AD439" s="104"/>
      <c r="AE439" s="104"/>
    </row>
    <row r="440">
      <c r="A440" s="103"/>
      <c r="B440" s="103"/>
      <c r="C440" s="103"/>
      <c r="D440" s="103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  <c r="AC440" s="104"/>
      <c r="AD440" s="104"/>
      <c r="AE440" s="104"/>
    </row>
    <row r="441">
      <c r="A441" s="103"/>
      <c r="B441" s="103"/>
      <c r="C441" s="103"/>
      <c r="D441" s="103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  <c r="AC441" s="104"/>
      <c r="AD441" s="104"/>
      <c r="AE441" s="104"/>
    </row>
    <row r="442">
      <c r="A442" s="103"/>
      <c r="B442" s="103"/>
      <c r="C442" s="103"/>
      <c r="D442" s="103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  <c r="AC442" s="104"/>
      <c r="AD442" s="104"/>
      <c r="AE442" s="104"/>
    </row>
    <row r="443">
      <c r="A443" s="103"/>
      <c r="B443" s="103"/>
      <c r="C443" s="103"/>
      <c r="D443" s="103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  <c r="AC443" s="104"/>
      <c r="AD443" s="104"/>
      <c r="AE443" s="104"/>
    </row>
    <row r="444">
      <c r="A444" s="103"/>
      <c r="B444" s="103"/>
      <c r="C444" s="103"/>
      <c r="D444" s="103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  <c r="AC444" s="104"/>
      <c r="AD444" s="104"/>
      <c r="AE444" s="104"/>
    </row>
    <row r="445">
      <c r="A445" s="103"/>
      <c r="B445" s="103"/>
      <c r="C445" s="103"/>
      <c r="D445" s="103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  <c r="AC445" s="104"/>
      <c r="AD445" s="104"/>
      <c r="AE445" s="104"/>
    </row>
    <row r="446">
      <c r="A446" s="103"/>
      <c r="B446" s="103"/>
      <c r="C446" s="103"/>
      <c r="D446" s="103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  <c r="AC446" s="104"/>
      <c r="AD446" s="104"/>
      <c r="AE446" s="104"/>
    </row>
    <row r="447">
      <c r="A447" s="103"/>
      <c r="B447" s="103"/>
      <c r="C447" s="103"/>
      <c r="D447" s="103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  <c r="AD447" s="104"/>
      <c r="AE447" s="104"/>
    </row>
    <row r="448">
      <c r="A448" s="103"/>
      <c r="B448" s="103"/>
      <c r="C448" s="103"/>
      <c r="D448" s="103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  <c r="AD448" s="104"/>
      <c r="AE448" s="104"/>
    </row>
    <row r="449">
      <c r="A449" s="103"/>
      <c r="B449" s="103"/>
      <c r="C449" s="103"/>
      <c r="D449" s="103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  <c r="AD449" s="104"/>
      <c r="AE449" s="104"/>
    </row>
    <row r="450">
      <c r="A450" s="103"/>
      <c r="B450" s="103"/>
      <c r="C450" s="103"/>
      <c r="D450" s="103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  <c r="AD450" s="104"/>
      <c r="AE450" s="104"/>
    </row>
    <row r="451">
      <c r="A451" s="103"/>
      <c r="B451" s="103"/>
      <c r="C451" s="103"/>
      <c r="D451" s="103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  <c r="AD451" s="104"/>
      <c r="AE451" s="104"/>
    </row>
    <row r="452">
      <c r="A452" s="103"/>
      <c r="B452" s="103"/>
      <c r="C452" s="103"/>
      <c r="D452" s="103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  <c r="AD452" s="104"/>
      <c r="AE452" s="104"/>
    </row>
    <row r="453">
      <c r="A453" s="103"/>
      <c r="B453" s="103"/>
      <c r="C453" s="103"/>
      <c r="D453" s="103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  <c r="AD453" s="104"/>
      <c r="AE453" s="104"/>
    </row>
    <row r="454">
      <c r="A454" s="103"/>
      <c r="B454" s="103"/>
      <c r="C454" s="103"/>
      <c r="D454" s="103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  <c r="AD454" s="104"/>
      <c r="AE454" s="104"/>
    </row>
    <row r="455">
      <c r="A455" s="103"/>
      <c r="B455" s="103"/>
      <c r="C455" s="103"/>
      <c r="D455" s="103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  <c r="AD455" s="104"/>
      <c r="AE455" s="104"/>
    </row>
    <row r="456">
      <c r="A456" s="103"/>
      <c r="B456" s="103"/>
      <c r="C456" s="103"/>
      <c r="D456" s="103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  <c r="AD456" s="104"/>
      <c r="AE456" s="104"/>
    </row>
    <row r="457">
      <c r="A457" s="103"/>
      <c r="B457" s="103"/>
      <c r="C457" s="103"/>
      <c r="D457" s="103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  <c r="AD457" s="104"/>
      <c r="AE457" s="104"/>
    </row>
    <row r="458">
      <c r="A458" s="103"/>
      <c r="B458" s="103"/>
      <c r="C458" s="103"/>
      <c r="D458" s="103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  <c r="AD458" s="104"/>
      <c r="AE458" s="104"/>
    </row>
    <row r="459">
      <c r="A459" s="103"/>
      <c r="B459" s="103"/>
      <c r="C459" s="103"/>
      <c r="D459" s="103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  <c r="AD459" s="104"/>
      <c r="AE459" s="104"/>
    </row>
    <row r="460">
      <c r="A460" s="103"/>
      <c r="B460" s="103"/>
      <c r="C460" s="103"/>
      <c r="D460" s="103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  <c r="AD460" s="104"/>
      <c r="AE460" s="104"/>
    </row>
    <row r="461">
      <c r="A461" s="103"/>
      <c r="B461" s="103"/>
      <c r="C461" s="103"/>
      <c r="D461" s="103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  <c r="AD461" s="104"/>
      <c r="AE461" s="104"/>
    </row>
    <row r="462">
      <c r="A462" s="103"/>
      <c r="B462" s="103"/>
      <c r="C462" s="103"/>
      <c r="D462" s="103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  <c r="AD462" s="104"/>
      <c r="AE462" s="104"/>
    </row>
    <row r="463">
      <c r="A463" s="103"/>
      <c r="B463" s="103"/>
      <c r="C463" s="103"/>
      <c r="D463" s="103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  <c r="AD463" s="104"/>
      <c r="AE463" s="104"/>
    </row>
    <row r="464">
      <c r="A464" s="103"/>
      <c r="B464" s="103"/>
      <c r="C464" s="103"/>
      <c r="D464" s="103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  <c r="AD464" s="104"/>
      <c r="AE464" s="104"/>
    </row>
    <row r="465">
      <c r="A465" s="103"/>
      <c r="B465" s="103"/>
      <c r="C465" s="103"/>
      <c r="D465" s="103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  <c r="AD465" s="104"/>
      <c r="AE465" s="104"/>
    </row>
    <row r="466">
      <c r="A466" s="103"/>
      <c r="B466" s="103"/>
      <c r="C466" s="103"/>
      <c r="D466" s="103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  <c r="AC466" s="104"/>
      <c r="AD466" s="104"/>
      <c r="AE466" s="104"/>
    </row>
    <row r="467">
      <c r="A467" s="103"/>
      <c r="B467" s="103"/>
      <c r="C467" s="103"/>
      <c r="D467" s="103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  <c r="AC467" s="104"/>
      <c r="AD467" s="104"/>
      <c r="AE467" s="104"/>
    </row>
    <row r="468">
      <c r="A468" s="103"/>
      <c r="B468" s="103"/>
      <c r="C468" s="103"/>
      <c r="D468" s="103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  <c r="AC468" s="104"/>
      <c r="AD468" s="104"/>
      <c r="AE468" s="104"/>
    </row>
    <row r="469">
      <c r="A469" s="103"/>
      <c r="B469" s="103"/>
      <c r="C469" s="103"/>
      <c r="D469" s="103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  <c r="AC469" s="104"/>
      <c r="AD469" s="104"/>
      <c r="AE469" s="104"/>
    </row>
    <row r="470">
      <c r="A470" s="103"/>
      <c r="B470" s="103"/>
      <c r="C470" s="103"/>
      <c r="D470" s="103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  <c r="AC470" s="104"/>
      <c r="AD470" s="104"/>
      <c r="AE470" s="104"/>
    </row>
    <row r="471">
      <c r="A471" s="103"/>
      <c r="B471" s="103"/>
      <c r="C471" s="103"/>
      <c r="D471" s="103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  <c r="AC471" s="104"/>
      <c r="AD471" s="104"/>
      <c r="AE471" s="104"/>
    </row>
    <row r="472">
      <c r="A472" s="103"/>
      <c r="B472" s="103"/>
      <c r="C472" s="103"/>
      <c r="D472" s="103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  <c r="AC472" s="104"/>
      <c r="AD472" s="104"/>
      <c r="AE472" s="104"/>
    </row>
    <row r="473">
      <c r="A473" s="103"/>
      <c r="B473" s="103"/>
      <c r="C473" s="103"/>
      <c r="D473" s="103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  <c r="AC473" s="104"/>
      <c r="AD473" s="104"/>
      <c r="AE473" s="104"/>
    </row>
    <row r="474">
      <c r="A474" s="103"/>
      <c r="B474" s="103"/>
      <c r="C474" s="103"/>
      <c r="D474" s="103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  <c r="AC474" s="104"/>
      <c r="AD474" s="104"/>
      <c r="AE474" s="104"/>
    </row>
    <row r="475">
      <c r="A475" s="103"/>
      <c r="B475" s="103"/>
      <c r="C475" s="103"/>
      <c r="D475" s="103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  <c r="AD475" s="104"/>
      <c r="AE475" s="104"/>
    </row>
    <row r="476">
      <c r="A476" s="103"/>
      <c r="B476" s="103"/>
      <c r="C476" s="103"/>
      <c r="D476" s="103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  <c r="AC476" s="104"/>
      <c r="AD476" s="104"/>
      <c r="AE476" s="104"/>
    </row>
    <row r="477">
      <c r="A477" s="103"/>
      <c r="B477" s="103"/>
      <c r="C477" s="103"/>
      <c r="D477" s="103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  <c r="AC477" s="104"/>
      <c r="AD477" s="104"/>
      <c r="AE477" s="104"/>
    </row>
    <row r="478">
      <c r="A478" s="103"/>
      <c r="B478" s="103"/>
      <c r="C478" s="103"/>
      <c r="D478" s="103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  <c r="AC478" s="104"/>
      <c r="AD478" s="104"/>
      <c r="AE478" s="104"/>
    </row>
    <row r="479">
      <c r="A479" s="103"/>
      <c r="B479" s="103"/>
      <c r="C479" s="103"/>
      <c r="D479" s="103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  <c r="AC479" s="104"/>
      <c r="AD479" s="104"/>
      <c r="AE479" s="104"/>
    </row>
    <row r="480">
      <c r="A480" s="103"/>
      <c r="B480" s="103"/>
      <c r="C480" s="103"/>
      <c r="D480" s="103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  <c r="AC480" s="104"/>
      <c r="AD480" s="104"/>
      <c r="AE480" s="104"/>
    </row>
    <row r="481">
      <c r="A481" s="103"/>
      <c r="B481" s="103"/>
      <c r="C481" s="103"/>
      <c r="D481" s="103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  <c r="AC481" s="104"/>
      <c r="AD481" s="104"/>
      <c r="AE481" s="104"/>
    </row>
    <row r="482">
      <c r="A482" s="103"/>
      <c r="B482" s="103"/>
      <c r="C482" s="103"/>
      <c r="D482" s="103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  <c r="AC482" s="104"/>
      <c r="AD482" s="104"/>
      <c r="AE482" s="104"/>
    </row>
    <row r="483">
      <c r="A483" s="103"/>
      <c r="B483" s="103"/>
      <c r="C483" s="103"/>
      <c r="D483" s="103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  <c r="AC483" s="104"/>
      <c r="AD483" s="104"/>
      <c r="AE483" s="104"/>
    </row>
    <row r="484">
      <c r="A484" s="103"/>
      <c r="B484" s="103"/>
      <c r="C484" s="103"/>
      <c r="D484" s="103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  <c r="AC484" s="104"/>
      <c r="AD484" s="104"/>
      <c r="AE484" s="104"/>
    </row>
    <row r="485">
      <c r="A485" s="103"/>
      <c r="B485" s="103"/>
      <c r="C485" s="103"/>
      <c r="D485" s="103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  <c r="AC485" s="104"/>
      <c r="AD485" s="104"/>
      <c r="AE485" s="104"/>
    </row>
    <row r="486">
      <c r="A486" s="103"/>
      <c r="B486" s="103"/>
      <c r="C486" s="103"/>
      <c r="D486" s="103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  <c r="AC486" s="104"/>
      <c r="AD486" s="104"/>
      <c r="AE486" s="104"/>
    </row>
    <row r="487">
      <c r="A487" s="103"/>
      <c r="B487" s="103"/>
      <c r="C487" s="103"/>
      <c r="D487" s="103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  <c r="AC487" s="104"/>
      <c r="AD487" s="104"/>
      <c r="AE487" s="104"/>
    </row>
    <row r="488">
      <c r="A488" s="103"/>
      <c r="B488" s="103"/>
      <c r="C488" s="103"/>
      <c r="D488" s="103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  <c r="AC488" s="104"/>
      <c r="AD488" s="104"/>
      <c r="AE488" s="104"/>
    </row>
    <row r="489">
      <c r="A489" s="103"/>
      <c r="B489" s="103"/>
      <c r="C489" s="103"/>
      <c r="D489" s="103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  <c r="AC489" s="104"/>
      <c r="AD489" s="104"/>
      <c r="AE489" s="104"/>
    </row>
    <row r="490">
      <c r="A490" s="103"/>
      <c r="B490" s="103"/>
      <c r="C490" s="103"/>
      <c r="D490" s="103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</row>
    <row r="491">
      <c r="A491" s="103"/>
      <c r="B491" s="103"/>
      <c r="C491" s="103"/>
      <c r="D491" s="103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  <c r="AC491" s="104"/>
      <c r="AD491" s="104"/>
      <c r="AE491" s="104"/>
    </row>
    <row r="492">
      <c r="A492" s="103"/>
      <c r="B492" s="103"/>
      <c r="C492" s="103"/>
      <c r="D492" s="103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  <c r="AC492" s="104"/>
      <c r="AD492" s="104"/>
      <c r="AE492" s="104"/>
    </row>
    <row r="493">
      <c r="A493" s="103"/>
      <c r="B493" s="103"/>
      <c r="C493" s="103"/>
      <c r="D493" s="103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  <c r="AC493" s="104"/>
      <c r="AD493" s="104"/>
      <c r="AE493" s="104"/>
    </row>
    <row r="494">
      <c r="A494" s="103"/>
      <c r="B494" s="103"/>
      <c r="C494" s="103"/>
      <c r="D494" s="103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  <c r="AC494" s="104"/>
      <c r="AD494" s="104"/>
      <c r="AE494" s="104"/>
    </row>
    <row r="495">
      <c r="A495" s="103"/>
      <c r="B495" s="103"/>
      <c r="C495" s="103"/>
      <c r="D495" s="103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  <c r="AC495" s="104"/>
      <c r="AD495" s="104"/>
      <c r="AE495" s="104"/>
    </row>
    <row r="496">
      <c r="A496" s="103"/>
      <c r="B496" s="103"/>
      <c r="C496" s="103"/>
      <c r="D496" s="103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  <c r="AC496" s="104"/>
      <c r="AD496" s="104"/>
      <c r="AE496" s="104"/>
    </row>
    <row r="497">
      <c r="A497" s="103"/>
      <c r="B497" s="103"/>
      <c r="C497" s="103"/>
      <c r="D497" s="103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/>
      <c r="AD497" s="104"/>
      <c r="AE497" s="104"/>
    </row>
    <row r="498">
      <c r="A498" s="103"/>
      <c r="B498" s="103"/>
      <c r="C498" s="103"/>
      <c r="D498" s="103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  <c r="AC498" s="104"/>
      <c r="AD498" s="104"/>
      <c r="AE498" s="104"/>
    </row>
    <row r="499">
      <c r="A499" s="103"/>
      <c r="B499" s="103"/>
      <c r="C499" s="103"/>
      <c r="D499" s="103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  <c r="AC499" s="104"/>
      <c r="AD499" s="104"/>
      <c r="AE499" s="104"/>
    </row>
    <row r="500">
      <c r="A500" s="103"/>
      <c r="B500" s="103"/>
      <c r="C500" s="103"/>
      <c r="D500" s="103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  <c r="AC500" s="104"/>
      <c r="AD500" s="104"/>
      <c r="AE500" s="104"/>
    </row>
    <row r="501">
      <c r="A501" s="103"/>
      <c r="B501" s="103"/>
      <c r="C501" s="103"/>
      <c r="D501" s="103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  <c r="AC501" s="104"/>
      <c r="AD501" s="104"/>
      <c r="AE501" s="104"/>
    </row>
    <row r="502">
      <c r="A502" s="103"/>
      <c r="B502" s="103"/>
      <c r="C502" s="103"/>
      <c r="D502" s="103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  <c r="AC502" s="104"/>
      <c r="AD502" s="104"/>
      <c r="AE502" s="104"/>
    </row>
    <row r="503">
      <c r="A503" s="103"/>
      <c r="B503" s="103"/>
      <c r="C503" s="103"/>
      <c r="D503" s="103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  <c r="AC503" s="104"/>
      <c r="AD503" s="104"/>
      <c r="AE503" s="104"/>
    </row>
    <row r="504">
      <c r="A504" s="103"/>
      <c r="B504" s="103"/>
      <c r="C504" s="103"/>
      <c r="D504" s="103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  <c r="AC504" s="104"/>
      <c r="AD504" s="104"/>
      <c r="AE504" s="104"/>
    </row>
    <row r="505">
      <c r="A505" s="103"/>
      <c r="B505" s="103"/>
      <c r="C505" s="103"/>
      <c r="D505" s="103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  <c r="AC505" s="104"/>
      <c r="AD505" s="104"/>
      <c r="AE505" s="104"/>
    </row>
    <row r="506">
      <c r="A506" s="103"/>
      <c r="B506" s="103"/>
      <c r="C506" s="103"/>
      <c r="D506" s="103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  <c r="AC506" s="104"/>
      <c r="AD506" s="104"/>
      <c r="AE506" s="104"/>
    </row>
    <row r="507">
      <c r="A507" s="103"/>
      <c r="B507" s="103"/>
      <c r="C507" s="103"/>
      <c r="D507" s="103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  <c r="AC507" s="104"/>
      <c r="AD507" s="104"/>
      <c r="AE507" s="104"/>
    </row>
    <row r="508">
      <c r="A508" s="103"/>
      <c r="B508" s="103"/>
      <c r="C508" s="103"/>
      <c r="D508" s="103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  <c r="AC508" s="104"/>
      <c r="AD508" s="104"/>
      <c r="AE508" s="104"/>
    </row>
    <row r="509">
      <c r="A509" s="103"/>
      <c r="B509" s="103"/>
      <c r="C509" s="103"/>
      <c r="D509" s="103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04"/>
      <c r="AD509" s="104"/>
      <c r="AE509" s="104"/>
    </row>
    <row r="510">
      <c r="A510" s="103"/>
      <c r="B510" s="103"/>
      <c r="C510" s="103"/>
      <c r="D510" s="103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  <c r="AC510" s="104"/>
      <c r="AD510" s="104"/>
      <c r="AE510" s="104"/>
    </row>
    <row r="511">
      <c r="A511" s="103"/>
      <c r="B511" s="103"/>
      <c r="C511" s="103"/>
      <c r="D511" s="103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  <c r="AC511" s="104"/>
      <c r="AD511" s="104"/>
      <c r="AE511" s="104"/>
    </row>
    <row r="512">
      <c r="A512" s="103"/>
      <c r="B512" s="103"/>
      <c r="C512" s="103"/>
      <c r="D512" s="103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  <c r="AC512" s="104"/>
      <c r="AD512" s="104"/>
      <c r="AE512" s="104"/>
    </row>
    <row r="513">
      <c r="A513" s="103"/>
      <c r="B513" s="103"/>
      <c r="C513" s="103"/>
      <c r="D513" s="103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  <c r="AC513" s="104"/>
      <c r="AD513" s="104"/>
      <c r="AE513" s="104"/>
    </row>
    <row r="514">
      <c r="A514" s="103"/>
      <c r="B514" s="103"/>
      <c r="C514" s="103"/>
      <c r="D514" s="103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  <c r="AC514" s="104"/>
      <c r="AD514" s="104"/>
      <c r="AE514" s="104"/>
    </row>
    <row r="515">
      <c r="A515" s="103"/>
      <c r="B515" s="103"/>
      <c r="C515" s="103"/>
      <c r="D515" s="103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  <c r="AC515" s="104"/>
      <c r="AD515" s="104"/>
      <c r="AE515" s="104"/>
    </row>
    <row r="516">
      <c r="A516" s="103"/>
      <c r="B516" s="103"/>
      <c r="C516" s="103"/>
      <c r="D516" s="103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  <c r="AC516" s="104"/>
      <c r="AD516" s="104"/>
      <c r="AE516" s="104"/>
    </row>
    <row r="517">
      <c r="A517" s="103"/>
      <c r="B517" s="103"/>
      <c r="C517" s="103"/>
      <c r="D517" s="103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  <c r="AC517" s="104"/>
      <c r="AD517" s="104"/>
      <c r="AE517" s="104"/>
    </row>
    <row r="518">
      <c r="A518" s="103"/>
      <c r="B518" s="103"/>
      <c r="C518" s="103"/>
      <c r="D518" s="103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  <c r="AC518" s="104"/>
      <c r="AD518" s="104"/>
      <c r="AE518" s="104"/>
    </row>
    <row r="519">
      <c r="A519" s="103"/>
      <c r="B519" s="103"/>
      <c r="C519" s="103"/>
      <c r="D519" s="103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  <c r="AC519" s="104"/>
      <c r="AD519" s="104"/>
      <c r="AE519" s="104"/>
    </row>
    <row r="520">
      <c r="A520" s="103"/>
      <c r="B520" s="103"/>
      <c r="C520" s="103"/>
      <c r="D520" s="103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  <c r="AC520" s="104"/>
      <c r="AD520" s="104"/>
      <c r="AE520" s="104"/>
    </row>
    <row r="521">
      <c r="A521" s="103"/>
      <c r="B521" s="103"/>
      <c r="C521" s="103"/>
      <c r="D521" s="103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  <c r="AC521" s="104"/>
      <c r="AD521" s="104"/>
      <c r="AE521" s="104"/>
    </row>
    <row r="522">
      <c r="A522" s="103"/>
      <c r="B522" s="103"/>
      <c r="C522" s="103"/>
      <c r="D522" s="103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  <c r="AC522" s="104"/>
      <c r="AD522" s="104"/>
      <c r="AE522" s="104"/>
    </row>
    <row r="523">
      <c r="A523" s="103"/>
      <c r="B523" s="103"/>
      <c r="C523" s="103"/>
      <c r="D523" s="103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  <c r="AC523" s="104"/>
      <c r="AD523" s="104"/>
      <c r="AE523" s="104"/>
    </row>
    <row r="524">
      <c r="A524" s="103"/>
      <c r="B524" s="103"/>
      <c r="C524" s="103"/>
      <c r="D524" s="103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  <c r="AC524" s="104"/>
      <c r="AD524" s="104"/>
      <c r="AE524" s="104"/>
    </row>
    <row r="525">
      <c r="A525" s="103"/>
      <c r="B525" s="103"/>
      <c r="C525" s="103"/>
      <c r="D525" s="103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  <c r="AC525" s="104"/>
      <c r="AD525" s="104"/>
      <c r="AE525" s="104"/>
    </row>
    <row r="526">
      <c r="A526" s="103"/>
      <c r="B526" s="103"/>
      <c r="C526" s="103"/>
      <c r="D526" s="103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  <c r="AC526" s="104"/>
      <c r="AD526" s="104"/>
      <c r="AE526" s="104"/>
    </row>
    <row r="527">
      <c r="A527" s="103"/>
      <c r="B527" s="103"/>
      <c r="C527" s="103"/>
      <c r="D527" s="103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  <c r="AC527" s="104"/>
      <c r="AD527" s="104"/>
      <c r="AE527" s="104"/>
    </row>
    <row r="528">
      <c r="A528" s="103"/>
      <c r="B528" s="103"/>
      <c r="C528" s="103"/>
      <c r="D528" s="103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  <c r="AC528" s="104"/>
      <c r="AD528" s="104"/>
      <c r="AE528" s="104"/>
    </row>
    <row r="529">
      <c r="A529" s="103"/>
      <c r="B529" s="103"/>
      <c r="C529" s="103"/>
      <c r="D529" s="103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  <c r="AC529" s="104"/>
      <c r="AD529" s="104"/>
      <c r="AE529" s="104"/>
    </row>
    <row r="530">
      <c r="A530" s="103"/>
      <c r="B530" s="103"/>
      <c r="C530" s="103"/>
      <c r="D530" s="103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  <c r="AC530" s="104"/>
      <c r="AD530" s="104"/>
      <c r="AE530" s="104"/>
    </row>
    <row r="531">
      <c r="A531" s="103"/>
      <c r="B531" s="103"/>
      <c r="C531" s="103"/>
      <c r="D531" s="103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  <c r="AC531" s="104"/>
      <c r="AD531" s="104"/>
      <c r="AE531" s="104"/>
    </row>
    <row r="532">
      <c r="A532" s="103"/>
      <c r="B532" s="103"/>
      <c r="C532" s="103"/>
      <c r="D532" s="103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  <c r="AC532" s="104"/>
      <c r="AD532" s="104"/>
      <c r="AE532" s="104"/>
    </row>
    <row r="533">
      <c r="A533" s="103"/>
      <c r="B533" s="103"/>
      <c r="C533" s="103"/>
      <c r="D533" s="103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  <c r="AC533" s="104"/>
      <c r="AD533" s="104"/>
      <c r="AE533" s="104"/>
    </row>
    <row r="534">
      <c r="A534" s="103"/>
      <c r="B534" s="103"/>
      <c r="C534" s="103"/>
      <c r="D534" s="103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  <c r="AC534" s="104"/>
      <c r="AD534" s="104"/>
      <c r="AE534" s="104"/>
    </row>
    <row r="535">
      <c r="A535" s="103"/>
      <c r="B535" s="103"/>
      <c r="C535" s="103"/>
      <c r="D535" s="103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  <c r="AC535" s="104"/>
      <c r="AD535" s="104"/>
      <c r="AE535" s="104"/>
    </row>
    <row r="536">
      <c r="A536" s="103"/>
      <c r="B536" s="103"/>
      <c r="C536" s="103"/>
      <c r="D536" s="103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  <c r="AC536" s="104"/>
      <c r="AD536" s="104"/>
      <c r="AE536" s="104"/>
    </row>
    <row r="537">
      <c r="A537" s="103"/>
      <c r="B537" s="103"/>
      <c r="C537" s="103"/>
      <c r="D537" s="103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  <c r="AC537" s="104"/>
      <c r="AD537" s="104"/>
      <c r="AE537" s="104"/>
    </row>
    <row r="538">
      <c r="A538" s="103"/>
      <c r="B538" s="103"/>
      <c r="C538" s="103"/>
      <c r="D538" s="103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  <c r="AC538" s="104"/>
      <c r="AD538" s="104"/>
      <c r="AE538" s="104"/>
    </row>
    <row r="539">
      <c r="A539" s="103"/>
      <c r="B539" s="103"/>
      <c r="C539" s="103"/>
      <c r="D539" s="103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  <c r="AC539" s="104"/>
      <c r="AD539" s="104"/>
      <c r="AE539" s="104"/>
    </row>
    <row r="540">
      <c r="A540" s="103"/>
      <c r="B540" s="103"/>
      <c r="C540" s="103"/>
      <c r="D540" s="103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  <c r="AC540" s="104"/>
      <c r="AD540" s="104"/>
      <c r="AE540" s="104"/>
    </row>
    <row r="541">
      <c r="A541" s="103"/>
      <c r="B541" s="103"/>
      <c r="C541" s="103"/>
      <c r="D541" s="103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  <c r="AC541" s="104"/>
      <c r="AD541" s="104"/>
      <c r="AE541" s="104"/>
    </row>
    <row r="542">
      <c r="A542" s="103"/>
      <c r="B542" s="103"/>
      <c r="C542" s="103"/>
      <c r="D542" s="103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  <c r="AC542" s="104"/>
      <c r="AD542" s="104"/>
      <c r="AE542" s="104"/>
    </row>
    <row r="543">
      <c r="A543" s="103"/>
      <c r="B543" s="103"/>
      <c r="C543" s="103"/>
      <c r="D543" s="103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  <c r="AC543" s="104"/>
      <c r="AD543" s="104"/>
      <c r="AE543" s="104"/>
    </row>
    <row r="544">
      <c r="A544" s="103"/>
      <c r="B544" s="103"/>
      <c r="C544" s="103"/>
      <c r="D544" s="103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  <c r="AC544" s="104"/>
      <c r="AD544" s="104"/>
      <c r="AE544" s="104"/>
    </row>
    <row r="545">
      <c r="A545" s="103"/>
      <c r="B545" s="103"/>
      <c r="C545" s="103"/>
      <c r="D545" s="103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  <c r="AC545" s="104"/>
      <c r="AD545" s="104"/>
      <c r="AE545" s="104"/>
    </row>
    <row r="546">
      <c r="A546" s="103"/>
      <c r="B546" s="103"/>
      <c r="C546" s="103"/>
      <c r="D546" s="103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  <c r="AC546" s="104"/>
      <c r="AD546" s="104"/>
      <c r="AE546" s="104"/>
    </row>
    <row r="547">
      <c r="A547" s="103"/>
      <c r="B547" s="103"/>
      <c r="C547" s="103"/>
      <c r="D547" s="103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  <c r="AC547" s="104"/>
      <c r="AD547" s="104"/>
      <c r="AE547" s="104"/>
    </row>
    <row r="548">
      <c r="A548" s="103"/>
      <c r="B548" s="103"/>
      <c r="C548" s="103"/>
      <c r="D548" s="103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  <c r="AC548" s="104"/>
      <c r="AD548" s="104"/>
      <c r="AE548" s="104"/>
    </row>
    <row r="549">
      <c r="A549" s="103"/>
      <c r="B549" s="103"/>
      <c r="C549" s="103"/>
      <c r="D549" s="103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  <c r="AC549" s="104"/>
      <c r="AD549" s="104"/>
      <c r="AE549" s="104"/>
    </row>
    <row r="550">
      <c r="A550" s="103"/>
      <c r="B550" s="103"/>
      <c r="C550" s="103"/>
      <c r="D550" s="103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  <c r="AC550" s="104"/>
      <c r="AD550" s="104"/>
      <c r="AE550" s="104"/>
    </row>
    <row r="551">
      <c r="A551" s="103"/>
      <c r="B551" s="103"/>
      <c r="C551" s="103"/>
      <c r="D551" s="103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  <c r="AC551" s="104"/>
      <c r="AD551" s="104"/>
      <c r="AE551" s="104"/>
    </row>
    <row r="552">
      <c r="A552" s="103"/>
      <c r="B552" s="103"/>
      <c r="C552" s="103"/>
      <c r="D552" s="103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  <c r="AC552" s="104"/>
      <c r="AD552" s="104"/>
      <c r="AE552" s="104"/>
    </row>
    <row r="553">
      <c r="A553" s="103"/>
      <c r="B553" s="103"/>
      <c r="C553" s="103"/>
      <c r="D553" s="103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  <c r="AC553" s="104"/>
      <c r="AD553" s="104"/>
      <c r="AE553" s="104"/>
    </row>
    <row r="554">
      <c r="A554" s="103"/>
      <c r="B554" s="103"/>
      <c r="C554" s="103"/>
      <c r="D554" s="103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  <c r="AC554" s="104"/>
      <c r="AD554" s="104"/>
      <c r="AE554" s="104"/>
    </row>
    <row r="555">
      <c r="A555" s="103"/>
      <c r="B555" s="103"/>
      <c r="C555" s="103"/>
      <c r="D555" s="103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  <c r="AC555" s="104"/>
      <c r="AD555" s="104"/>
      <c r="AE555" s="104"/>
    </row>
    <row r="556">
      <c r="A556" s="103"/>
      <c r="B556" s="103"/>
      <c r="C556" s="103"/>
      <c r="D556" s="103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  <c r="AC556" s="104"/>
      <c r="AD556" s="104"/>
      <c r="AE556" s="104"/>
    </row>
    <row r="557">
      <c r="A557" s="103"/>
      <c r="B557" s="103"/>
      <c r="C557" s="103"/>
      <c r="D557" s="103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  <c r="AC557" s="104"/>
      <c r="AD557" s="104"/>
      <c r="AE557" s="104"/>
    </row>
    <row r="558">
      <c r="A558" s="103"/>
      <c r="B558" s="103"/>
      <c r="C558" s="103"/>
      <c r="D558" s="103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  <c r="AC558" s="104"/>
      <c r="AD558" s="104"/>
      <c r="AE558" s="104"/>
    </row>
    <row r="559">
      <c r="A559" s="103"/>
      <c r="B559" s="103"/>
      <c r="C559" s="103"/>
      <c r="D559" s="103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  <c r="AC559" s="104"/>
      <c r="AD559" s="104"/>
      <c r="AE559" s="104"/>
    </row>
    <row r="560">
      <c r="A560" s="103"/>
      <c r="B560" s="103"/>
      <c r="C560" s="103"/>
      <c r="D560" s="103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  <c r="AC560" s="104"/>
      <c r="AD560" s="104"/>
      <c r="AE560" s="104"/>
    </row>
    <row r="561">
      <c r="A561" s="103"/>
      <c r="B561" s="103"/>
      <c r="C561" s="103"/>
      <c r="D561" s="103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  <c r="AB561" s="104"/>
      <c r="AC561" s="104"/>
      <c r="AD561" s="104"/>
      <c r="AE561" s="104"/>
    </row>
    <row r="562">
      <c r="A562" s="103"/>
      <c r="B562" s="103"/>
      <c r="C562" s="103"/>
      <c r="D562" s="103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  <c r="AE562" s="104"/>
    </row>
    <row r="563">
      <c r="A563" s="103"/>
      <c r="B563" s="103"/>
      <c r="C563" s="103"/>
      <c r="D563" s="103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  <c r="AE563" s="104"/>
    </row>
    <row r="564">
      <c r="A564" s="103"/>
      <c r="B564" s="103"/>
      <c r="C564" s="103"/>
      <c r="D564" s="103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  <c r="AB564" s="104"/>
      <c r="AC564" s="104"/>
      <c r="AD564" s="104"/>
      <c r="AE564" s="104"/>
    </row>
    <row r="565">
      <c r="A565" s="103"/>
      <c r="B565" s="103"/>
      <c r="C565" s="103"/>
      <c r="D565" s="103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  <c r="AC565" s="104"/>
      <c r="AD565" s="104"/>
      <c r="AE565" s="104"/>
    </row>
    <row r="566">
      <c r="A566" s="103"/>
      <c r="B566" s="103"/>
      <c r="C566" s="103"/>
      <c r="D566" s="103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  <c r="AC566" s="104"/>
      <c r="AD566" s="104"/>
      <c r="AE566" s="104"/>
    </row>
    <row r="567">
      <c r="A567" s="103"/>
      <c r="B567" s="103"/>
      <c r="C567" s="103"/>
      <c r="D567" s="103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  <c r="AC567" s="104"/>
      <c r="AD567" s="104"/>
      <c r="AE567" s="104"/>
    </row>
    <row r="568">
      <c r="A568" s="103"/>
      <c r="B568" s="103"/>
      <c r="C568" s="103"/>
      <c r="D568" s="103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  <c r="AC568" s="104"/>
      <c r="AD568" s="104"/>
      <c r="AE568" s="104"/>
    </row>
    <row r="569">
      <c r="A569" s="103"/>
      <c r="B569" s="103"/>
      <c r="C569" s="103"/>
      <c r="D569" s="103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  <c r="AC569" s="104"/>
      <c r="AD569" s="104"/>
      <c r="AE569" s="104"/>
    </row>
    <row r="570">
      <c r="A570" s="103"/>
      <c r="B570" s="103"/>
      <c r="C570" s="103"/>
      <c r="D570" s="103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  <c r="AC570" s="104"/>
      <c r="AD570" s="104"/>
      <c r="AE570" s="104"/>
    </row>
    <row r="571">
      <c r="A571" s="103"/>
      <c r="B571" s="103"/>
      <c r="C571" s="103"/>
      <c r="D571" s="103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  <c r="AC571" s="104"/>
      <c r="AD571" s="104"/>
      <c r="AE571" s="104"/>
    </row>
    <row r="572">
      <c r="A572" s="103"/>
      <c r="B572" s="103"/>
      <c r="C572" s="103"/>
      <c r="D572" s="103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  <c r="AC572" s="104"/>
      <c r="AD572" s="104"/>
      <c r="AE572" s="104"/>
    </row>
    <row r="573">
      <c r="A573" s="103"/>
      <c r="B573" s="103"/>
      <c r="C573" s="103"/>
      <c r="D573" s="103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  <c r="AC573" s="104"/>
      <c r="AD573" s="104"/>
      <c r="AE573" s="104"/>
    </row>
    <row r="574">
      <c r="A574" s="103"/>
      <c r="B574" s="103"/>
      <c r="C574" s="103"/>
      <c r="D574" s="103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  <c r="AC574" s="104"/>
      <c r="AD574" s="104"/>
      <c r="AE574" s="104"/>
    </row>
    <row r="575">
      <c r="A575" s="103"/>
      <c r="B575" s="103"/>
      <c r="C575" s="103"/>
      <c r="D575" s="103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  <c r="AC575" s="104"/>
      <c r="AD575" s="104"/>
      <c r="AE575" s="104"/>
    </row>
    <row r="576">
      <c r="A576" s="103"/>
      <c r="B576" s="103"/>
      <c r="C576" s="103"/>
      <c r="D576" s="103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  <c r="AC576" s="104"/>
      <c r="AD576" s="104"/>
      <c r="AE576" s="104"/>
    </row>
    <row r="577">
      <c r="A577" s="103"/>
      <c r="B577" s="103"/>
      <c r="C577" s="103"/>
      <c r="D577" s="103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  <c r="AC577" s="104"/>
      <c r="AD577" s="104"/>
      <c r="AE577" s="104"/>
    </row>
    <row r="578">
      <c r="A578" s="103"/>
      <c r="B578" s="103"/>
      <c r="C578" s="103"/>
      <c r="D578" s="103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  <c r="AC578" s="104"/>
      <c r="AD578" s="104"/>
      <c r="AE578" s="104"/>
    </row>
    <row r="579">
      <c r="A579" s="103"/>
      <c r="B579" s="103"/>
      <c r="C579" s="103"/>
      <c r="D579" s="103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  <c r="AC579" s="104"/>
      <c r="AD579" s="104"/>
      <c r="AE579" s="104"/>
    </row>
    <row r="580">
      <c r="A580" s="103"/>
      <c r="B580" s="103"/>
      <c r="C580" s="103"/>
      <c r="D580" s="103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  <c r="AC580" s="104"/>
      <c r="AD580" s="104"/>
      <c r="AE580" s="104"/>
    </row>
    <row r="581">
      <c r="A581" s="103"/>
      <c r="B581" s="103"/>
      <c r="C581" s="103"/>
      <c r="D581" s="103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  <c r="AC581" s="104"/>
      <c r="AD581" s="104"/>
      <c r="AE581" s="104"/>
    </row>
    <row r="582">
      <c r="A582" s="103"/>
      <c r="B582" s="103"/>
      <c r="C582" s="103"/>
      <c r="D582" s="103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  <c r="AC582" s="104"/>
      <c r="AD582" s="104"/>
      <c r="AE582" s="104"/>
    </row>
    <row r="583">
      <c r="A583" s="103"/>
      <c r="B583" s="103"/>
      <c r="C583" s="103"/>
      <c r="D583" s="103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  <c r="AC583" s="104"/>
      <c r="AD583" s="104"/>
      <c r="AE583" s="104"/>
    </row>
    <row r="584">
      <c r="A584" s="103"/>
      <c r="B584" s="103"/>
      <c r="C584" s="103"/>
      <c r="D584" s="103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  <c r="AD584" s="104"/>
      <c r="AE584" s="104"/>
    </row>
    <row r="585">
      <c r="A585" s="103"/>
      <c r="B585" s="103"/>
      <c r="C585" s="103"/>
      <c r="D585" s="103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  <c r="AD585" s="104"/>
      <c r="AE585" s="104"/>
    </row>
    <row r="586">
      <c r="A586" s="103"/>
      <c r="B586" s="103"/>
      <c r="C586" s="103"/>
      <c r="D586" s="103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  <c r="AC586" s="104"/>
      <c r="AD586" s="104"/>
      <c r="AE586" s="104"/>
    </row>
    <row r="587">
      <c r="A587" s="103"/>
      <c r="B587" s="103"/>
      <c r="C587" s="103"/>
      <c r="D587" s="103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  <c r="AC587" s="104"/>
      <c r="AD587" s="104"/>
      <c r="AE587" s="104"/>
    </row>
    <row r="588">
      <c r="A588" s="103"/>
      <c r="B588" s="103"/>
      <c r="C588" s="103"/>
      <c r="D588" s="103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  <c r="AC588" s="104"/>
      <c r="AD588" s="104"/>
      <c r="AE588" s="104"/>
    </row>
    <row r="589">
      <c r="A589" s="103"/>
      <c r="B589" s="103"/>
      <c r="C589" s="103"/>
      <c r="D589" s="103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  <c r="AC589" s="104"/>
      <c r="AD589" s="104"/>
      <c r="AE589" s="104"/>
    </row>
    <row r="590">
      <c r="A590" s="103"/>
      <c r="B590" s="103"/>
      <c r="C590" s="103"/>
      <c r="D590" s="103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  <c r="AC590" s="104"/>
      <c r="AD590" s="104"/>
      <c r="AE590" s="104"/>
    </row>
    <row r="591">
      <c r="A591" s="103"/>
      <c r="B591" s="103"/>
      <c r="C591" s="103"/>
      <c r="D591" s="103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  <c r="AC591" s="104"/>
      <c r="AD591" s="104"/>
      <c r="AE591" s="104"/>
    </row>
    <row r="592">
      <c r="A592" s="103"/>
      <c r="B592" s="103"/>
      <c r="C592" s="103"/>
      <c r="D592" s="103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  <c r="AC592" s="104"/>
      <c r="AD592" s="104"/>
      <c r="AE592" s="104"/>
    </row>
    <row r="593">
      <c r="A593" s="103"/>
      <c r="B593" s="103"/>
      <c r="C593" s="103"/>
      <c r="D593" s="103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  <c r="AD593" s="104"/>
      <c r="AE593" s="104"/>
    </row>
    <row r="594">
      <c r="A594" s="103"/>
      <c r="B594" s="103"/>
      <c r="C594" s="103"/>
      <c r="D594" s="103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  <c r="AC594" s="104"/>
      <c r="AD594" s="104"/>
      <c r="AE594" s="104"/>
    </row>
    <row r="595">
      <c r="A595" s="103"/>
      <c r="B595" s="103"/>
      <c r="C595" s="103"/>
      <c r="D595" s="103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  <c r="AD595" s="104"/>
      <c r="AE595" s="104"/>
    </row>
    <row r="596">
      <c r="A596" s="103"/>
      <c r="B596" s="103"/>
      <c r="C596" s="103"/>
      <c r="D596" s="103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  <c r="AC596" s="104"/>
      <c r="AD596" s="104"/>
      <c r="AE596" s="104"/>
    </row>
    <row r="597">
      <c r="A597" s="103"/>
      <c r="B597" s="103"/>
      <c r="C597" s="103"/>
      <c r="D597" s="103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  <c r="AD597" s="104"/>
      <c r="AE597" s="104"/>
    </row>
    <row r="598">
      <c r="A598" s="103"/>
      <c r="B598" s="103"/>
      <c r="C598" s="103"/>
      <c r="D598" s="103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  <c r="AD598" s="104"/>
      <c r="AE598" s="104"/>
    </row>
    <row r="599">
      <c r="A599" s="103"/>
      <c r="B599" s="103"/>
      <c r="C599" s="103"/>
      <c r="D599" s="103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  <c r="AD599" s="104"/>
      <c r="AE599" s="104"/>
    </row>
    <row r="600">
      <c r="A600" s="103"/>
      <c r="B600" s="103"/>
      <c r="C600" s="103"/>
      <c r="D600" s="103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  <c r="AD600" s="104"/>
      <c r="AE600" s="104"/>
    </row>
    <row r="601">
      <c r="A601" s="103"/>
      <c r="B601" s="103"/>
      <c r="C601" s="103"/>
      <c r="D601" s="103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  <c r="AD601" s="104"/>
      <c r="AE601" s="104"/>
    </row>
    <row r="602">
      <c r="A602" s="103"/>
      <c r="B602" s="103"/>
      <c r="C602" s="103"/>
      <c r="D602" s="103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  <c r="AD602" s="104"/>
      <c r="AE602" s="104"/>
    </row>
    <row r="603">
      <c r="A603" s="103"/>
      <c r="B603" s="103"/>
      <c r="C603" s="103"/>
      <c r="D603" s="103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  <c r="AC603" s="104"/>
      <c r="AD603" s="104"/>
      <c r="AE603" s="104"/>
    </row>
    <row r="604">
      <c r="A604" s="103"/>
      <c r="B604" s="103"/>
      <c r="C604" s="103"/>
      <c r="D604" s="103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  <c r="AC604" s="104"/>
      <c r="AD604" s="104"/>
      <c r="AE604" s="104"/>
    </row>
    <row r="605">
      <c r="A605" s="103"/>
      <c r="B605" s="103"/>
      <c r="C605" s="103"/>
      <c r="D605" s="103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  <c r="AC605" s="104"/>
      <c r="AD605" s="104"/>
      <c r="AE605" s="104"/>
    </row>
    <row r="606">
      <c r="A606" s="103"/>
      <c r="B606" s="103"/>
      <c r="C606" s="103"/>
      <c r="D606" s="103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  <c r="AC606" s="104"/>
      <c r="AD606" s="104"/>
      <c r="AE606" s="104"/>
    </row>
    <row r="607">
      <c r="A607" s="103"/>
      <c r="B607" s="103"/>
      <c r="C607" s="103"/>
      <c r="D607" s="103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  <c r="AC607" s="104"/>
      <c r="AD607" s="104"/>
      <c r="AE607" s="104"/>
    </row>
    <row r="608">
      <c r="A608" s="103"/>
      <c r="B608" s="103"/>
      <c r="C608" s="103"/>
      <c r="D608" s="103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  <c r="AE608" s="104"/>
    </row>
    <row r="609">
      <c r="A609" s="103"/>
      <c r="B609" s="103"/>
      <c r="C609" s="103"/>
      <c r="D609" s="103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  <c r="AD609" s="104"/>
      <c r="AE609" s="104"/>
    </row>
    <row r="610">
      <c r="A610" s="103"/>
      <c r="B610" s="103"/>
      <c r="C610" s="103"/>
      <c r="D610" s="103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  <c r="AD610" s="104"/>
      <c r="AE610" s="104"/>
    </row>
    <row r="611">
      <c r="A611" s="103"/>
      <c r="B611" s="103"/>
      <c r="C611" s="103"/>
      <c r="D611" s="103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  <c r="AD611" s="104"/>
      <c r="AE611" s="104"/>
    </row>
    <row r="612">
      <c r="A612" s="103"/>
      <c r="B612" s="103"/>
      <c r="C612" s="103"/>
      <c r="D612" s="103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  <c r="AD612" s="104"/>
      <c r="AE612" s="104"/>
    </row>
    <row r="613">
      <c r="A613" s="103"/>
      <c r="B613" s="103"/>
      <c r="C613" s="103"/>
      <c r="D613" s="103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  <c r="AD613" s="104"/>
      <c r="AE613" s="104"/>
    </row>
    <row r="614">
      <c r="A614" s="103"/>
      <c r="B614" s="103"/>
      <c r="C614" s="103"/>
      <c r="D614" s="103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  <c r="AD614" s="104"/>
      <c r="AE614" s="104"/>
    </row>
    <row r="615">
      <c r="A615" s="103"/>
      <c r="B615" s="103"/>
      <c r="C615" s="103"/>
      <c r="D615" s="103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  <c r="AD615" s="104"/>
      <c r="AE615" s="104"/>
    </row>
    <row r="616">
      <c r="A616" s="103"/>
      <c r="B616" s="103"/>
      <c r="C616" s="103"/>
      <c r="D616" s="103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  <c r="AD616" s="104"/>
      <c r="AE616" s="104"/>
    </row>
    <row r="617">
      <c r="A617" s="103"/>
      <c r="B617" s="103"/>
      <c r="C617" s="103"/>
      <c r="D617" s="103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  <c r="AD617" s="104"/>
      <c r="AE617" s="104"/>
    </row>
    <row r="618">
      <c r="A618" s="103"/>
      <c r="B618" s="103"/>
      <c r="C618" s="103"/>
      <c r="D618" s="103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  <c r="AD618" s="104"/>
      <c r="AE618" s="104"/>
    </row>
    <row r="619">
      <c r="A619" s="103"/>
      <c r="B619" s="103"/>
      <c r="C619" s="103"/>
      <c r="D619" s="103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  <c r="AD619" s="104"/>
      <c r="AE619" s="104"/>
    </row>
    <row r="620">
      <c r="A620" s="103"/>
      <c r="B620" s="103"/>
      <c r="C620" s="103"/>
      <c r="D620" s="103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  <c r="AD620" s="104"/>
      <c r="AE620" s="104"/>
    </row>
    <row r="621">
      <c r="A621" s="103"/>
      <c r="B621" s="103"/>
      <c r="C621" s="103"/>
      <c r="D621" s="103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  <c r="AD621" s="104"/>
      <c r="AE621" s="104"/>
    </row>
    <row r="622">
      <c r="A622" s="103"/>
      <c r="B622" s="103"/>
      <c r="C622" s="103"/>
      <c r="D622" s="103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  <c r="AD622" s="104"/>
      <c r="AE622" s="104"/>
    </row>
    <row r="623">
      <c r="A623" s="103"/>
      <c r="B623" s="103"/>
      <c r="C623" s="103"/>
      <c r="D623" s="103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  <c r="AD623" s="104"/>
      <c r="AE623" s="104"/>
    </row>
    <row r="624">
      <c r="A624" s="103"/>
      <c r="B624" s="103"/>
      <c r="C624" s="103"/>
      <c r="D624" s="103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  <c r="AD624" s="104"/>
      <c r="AE624" s="104"/>
    </row>
    <row r="625">
      <c r="A625" s="103"/>
      <c r="B625" s="103"/>
      <c r="C625" s="103"/>
      <c r="D625" s="103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  <c r="AD625" s="104"/>
      <c r="AE625" s="104"/>
    </row>
    <row r="626">
      <c r="A626" s="103"/>
      <c r="B626" s="103"/>
      <c r="C626" s="103"/>
      <c r="D626" s="103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  <c r="AD626" s="104"/>
      <c r="AE626" s="104"/>
    </row>
    <row r="627">
      <c r="A627" s="103"/>
      <c r="B627" s="103"/>
      <c r="C627" s="103"/>
      <c r="D627" s="103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  <c r="AD627" s="104"/>
      <c r="AE627" s="104"/>
    </row>
    <row r="628">
      <c r="A628" s="103"/>
      <c r="B628" s="103"/>
      <c r="C628" s="103"/>
      <c r="D628" s="103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  <c r="AE628" s="104"/>
    </row>
    <row r="629">
      <c r="A629" s="103"/>
      <c r="B629" s="103"/>
      <c r="C629" s="103"/>
      <c r="D629" s="103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  <c r="AD629" s="104"/>
      <c r="AE629" s="104"/>
    </row>
    <row r="630">
      <c r="A630" s="103"/>
      <c r="B630" s="103"/>
      <c r="C630" s="103"/>
      <c r="D630" s="103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  <c r="AD630" s="104"/>
      <c r="AE630" s="104"/>
    </row>
    <row r="631">
      <c r="A631" s="103"/>
      <c r="B631" s="103"/>
      <c r="C631" s="103"/>
      <c r="D631" s="103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  <c r="AD631" s="104"/>
      <c r="AE631" s="104"/>
    </row>
    <row r="632">
      <c r="A632" s="103"/>
      <c r="B632" s="103"/>
      <c r="C632" s="103"/>
      <c r="D632" s="103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  <c r="AD632" s="104"/>
      <c r="AE632" s="104"/>
    </row>
    <row r="633">
      <c r="A633" s="103"/>
      <c r="B633" s="103"/>
      <c r="C633" s="103"/>
      <c r="D633" s="103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  <c r="AD633" s="104"/>
      <c r="AE633" s="104"/>
    </row>
    <row r="634">
      <c r="A634" s="103"/>
      <c r="B634" s="103"/>
      <c r="C634" s="103"/>
      <c r="D634" s="103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  <c r="AD634" s="104"/>
      <c r="AE634" s="104"/>
    </row>
    <row r="635">
      <c r="A635" s="103"/>
      <c r="B635" s="103"/>
      <c r="C635" s="103"/>
      <c r="D635" s="103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  <c r="AD635" s="104"/>
      <c r="AE635" s="104"/>
    </row>
    <row r="636">
      <c r="A636" s="103"/>
      <c r="B636" s="103"/>
      <c r="C636" s="103"/>
      <c r="D636" s="103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  <c r="AD636" s="104"/>
      <c r="AE636" s="104"/>
    </row>
    <row r="637">
      <c r="A637" s="103"/>
      <c r="B637" s="103"/>
      <c r="C637" s="103"/>
      <c r="D637" s="103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  <c r="AD637" s="104"/>
      <c r="AE637" s="104"/>
    </row>
    <row r="638">
      <c r="A638" s="103"/>
      <c r="B638" s="103"/>
      <c r="C638" s="103"/>
      <c r="D638" s="103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  <c r="AD638" s="104"/>
      <c r="AE638" s="104"/>
    </row>
    <row r="639">
      <c r="A639" s="103"/>
      <c r="B639" s="103"/>
      <c r="C639" s="103"/>
      <c r="D639" s="103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  <c r="AE639" s="104"/>
    </row>
    <row r="640">
      <c r="A640" s="103"/>
      <c r="B640" s="103"/>
      <c r="C640" s="103"/>
      <c r="D640" s="103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  <c r="AD640" s="104"/>
      <c r="AE640" s="104"/>
    </row>
    <row r="641">
      <c r="A641" s="103"/>
      <c r="B641" s="103"/>
      <c r="C641" s="103"/>
      <c r="D641" s="103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  <c r="AC641" s="104"/>
      <c r="AD641" s="104"/>
      <c r="AE641" s="104"/>
    </row>
    <row r="642">
      <c r="A642" s="103"/>
      <c r="B642" s="103"/>
      <c r="C642" s="103"/>
      <c r="D642" s="103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  <c r="AC642" s="104"/>
      <c r="AD642" s="104"/>
      <c r="AE642" s="104"/>
    </row>
    <row r="643">
      <c r="A643" s="103"/>
      <c r="B643" s="103"/>
      <c r="C643" s="103"/>
      <c r="D643" s="103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  <c r="AD643" s="104"/>
      <c r="AE643" s="104"/>
    </row>
    <row r="644">
      <c r="A644" s="103"/>
      <c r="B644" s="103"/>
      <c r="C644" s="103"/>
      <c r="D644" s="103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  <c r="AD644" s="104"/>
      <c r="AE644" s="104"/>
    </row>
    <row r="645">
      <c r="A645" s="103"/>
      <c r="B645" s="103"/>
      <c r="C645" s="103"/>
      <c r="D645" s="103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  <c r="AD645" s="104"/>
      <c r="AE645" s="104"/>
    </row>
    <row r="646">
      <c r="A646" s="103"/>
      <c r="B646" s="103"/>
      <c r="C646" s="103"/>
      <c r="D646" s="103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  <c r="AD646" s="104"/>
      <c r="AE646" s="104"/>
    </row>
    <row r="647">
      <c r="A647" s="103"/>
      <c r="B647" s="103"/>
      <c r="C647" s="103"/>
      <c r="D647" s="103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  <c r="AD647" s="104"/>
      <c r="AE647" s="104"/>
    </row>
    <row r="648">
      <c r="A648" s="103"/>
      <c r="B648" s="103"/>
      <c r="C648" s="103"/>
      <c r="D648" s="103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  <c r="AD648" s="104"/>
      <c r="AE648" s="104"/>
    </row>
    <row r="649">
      <c r="A649" s="103"/>
      <c r="B649" s="103"/>
      <c r="C649" s="103"/>
      <c r="D649" s="103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  <c r="AD649" s="104"/>
      <c r="AE649" s="104"/>
    </row>
    <row r="650">
      <c r="A650" s="103"/>
      <c r="B650" s="103"/>
      <c r="C650" s="103"/>
      <c r="D650" s="103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  <c r="AD650" s="104"/>
      <c r="AE650" s="104"/>
    </row>
    <row r="651">
      <c r="A651" s="103"/>
      <c r="B651" s="103"/>
      <c r="C651" s="103"/>
      <c r="D651" s="103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  <c r="AD651" s="104"/>
      <c r="AE651" s="104"/>
    </row>
    <row r="652">
      <c r="A652" s="103"/>
      <c r="B652" s="103"/>
      <c r="C652" s="103"/>
      <c r="D652" s="103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  <c r="AD652" s="104"/>
      <c r="AE652" s="104"/>
    </row>
    <row r="653">
      <c r="A653" s="103"/>
      <c r="B653" s="103"/>
      <c r="C653" s="103"/>
      <c r="D653" s="103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  <c r="AD653" s="104"/>
      <c r="AE653" s="104"/>
    </row>
    <row r="654">
      <c r="A654" s="103"/>
      <c r="B654" s="103"/>
      <c r="C654" s="103"/>
      <c r="D654" s="103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  <c r="AD654" s="104"/>
      <c r="AE654" s="104"/>
    </row>
    <row r="655">
      <c r="A655" s="103"/>
      <c r="B655" s="103"/>
      <c r="C655" s="103"/>
      <c r="D655" s="103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  <c r="AD655" s="104"/>
      <c r="AE655" s="104"/>
    </row>
    <row r="656">
      <c r="A656" s="103"/>
      <c r="B656" s="103"/>
      <c r="C656" s="103"/>
      <c r="D656" s="103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  <c r="AE656" s="104"/>
    </row>
    <row r="657">
      <c r="A657" s="103"/>
      <c r="B657" s="103"/>
      <c r="C657" s="103"/>
      <c r="D657" s="103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  <c r="AE657" s="104"/>
    </row>
    <row r="658">
      <c r="A658" s="103"/>
      <c r="B658" s="103"/>
      <c r="C658" s="103"/>
      <c r="D658" s="103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  <c r="AE658" s="104"/>
    </row>
    <row r="659">
      <c r="A659" s="103"/>
      <c r="B659" s="103"/>
      <c r="C659" s="103"/>
      <c r="D659" s="103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  <c r="AE659" s="104"/>
    </row>
    <row r="660">
      <c r="A660" s="103"/>
      <c r="B660" s="103"/>
      <c r="C660" s="103"/>
      <c r="D660" s="103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  <c r="AE660" s="104"/>
    </row>
    <row r="661">
      <c r="A661" s="103"/>
      <c r="B661" s="103"/>
      <c r="C661" s="103"/>
      <c r="D661" s="103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  <c r="AE661" s="104"/>
    </row>
    <row r="662">
      <c r="A662" s="103"/>
      <c r="B662" s="103"/>
      <c r="C662" s="103"/>
      <c r="D662" s="103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  <c r="AE662" s="104"/>
    </row>
    <row r="663">
      <c r="A663" s="103"/>
      <c r="B663" s="103"/>
      <c r="C663" s="103"/>
      <c r="D663" s="103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  <c r="AE663" s="104"/>
    </row>
    <row r="664">
      <c r="A664" s="103"/>
      <c r="B664" s="103"/>
      <c r="C664" s="103"/>
      <c r="D664" s="103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  <c r="AE664" s="104"/>
    </row>
    <row r="665">
      <c r="A665" s="103"/>
      <c r="B665" s="103"/>
      <c r="C665" s="103"/>
      <c r="D665" s="103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  <c r="AE665" s="104"/>
    </row>
    <row r="666">
      <c r="A666" s="103"/>
      <c r="B666" s="103"/>
      <c r="C666" s="103"/>
      <c r="D666" s="103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  <c r="AE666" s="104"/>
    </row>
    <row r="667">
      <c r="A667" s="103"/>
      <c r="B667" s="103"/>
      <c r="C667" s="103"/>
      <c r="D667" s="103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  <c r="AE667" s="104"/>
    </row>
    <row r="668">
      <c r="A668" s="103"/>
      <c r="B668" s="103"/>
      <c r="C668" s="103"/>
      <c r="D668" s="103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  <c r="AE668" s="104"/>
    </row>
    <row r="669">
      <c r="A669" s="103"/>
      <c r="B669" s="103"/>
      <c r="C669" s="103"/>
      <c r="D669" s="103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  <c r="AE669" s="104"/>
    </row>
    <row r="670">
      <c r="A670" s="103"/>
      <c r="B670" s="103"/>
      <c r="C670" s="103"/>
      <c r="D670" s="103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  <c r="AE670" s="104"/>
    </row>
    <row r="671">
      <c r="A671" s="103"/>
      <c r="B671" s="103"/>
      <c r="C671" s="103"/>
      <c r="D671" s="103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  <c r="AE671" s="104"/>
    </row>
    <row r="672">
      <c r="A672" s="103"/>
      <c r="B672" s="103"/>
      <c r="C672" s="103"/>
      <c r="D672" s="103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  <c r="AD672" s="104"/>
      <c r="AE672" s="104"/>
    </row>
    <row r="673">
      <c r="A673" s="103"/>
      <c r="B673" s="103"/>
      <c r="C673" s="103"/>
      <c r="D673" s="103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  <c r="AD673" s="104"/>
      <c r="AE673" s="104"/>
    </row>
    <row r="674">
      <c r="A674" s="103"/>
      <c r="B674" s="103"/>
      <c r="C674" s="103"/>
      <c r="D674" s="103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  <c r="AD674" s="104"/>
      <c r="AE674" s="104"/>
    </row>
    <row r="675">
      <c r="A675" s="103"/>
      <c r="B675" s="103"/>
      <c r="C675" s="103"/>
      <c r="D675" s="103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  <c r="AD675" s="104"/>
      <c r="AE675" s="104"/>
    </row>
    <row r="676">
      <c r="A676" s="103"/>
      <c r="B676" s="103"/>
      <c r="C676" s="103"/>
      <c r="D676" s="103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  <c r="AD676" s="104"/>
      <c r="AE676" s="104"/>
    </row>
    <row r="677">
      <c r="A677" s="103"/>
      <c r="B677" s="103"/>
      <c r="C677" s="103"/>
      <c r="D677" s="103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  <c r="AD677" s="104"/>
      <c r="AE677" s="104"/>
    </row>
    <row r="678">
      <c r="A678" s="103"/>
      <c r="B678" s="103"/>
      <c r="C678" s="103"/>
      <c r="D678" s="103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  <c r="AD678" s="104"/>
      <c r="AE678" s="104"/>
    </row>
    <row r="679">
      <c r="A679" s="103"/>
      <c r="B679" s="103"/>
      <c r="C679" s="103"/>
      <c r="D679" s="103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  <c r="AD679" s="104"/>
      <c r="AE679" s="104"/>
    </row>
    <row r="680">
      <c r="A680" s="103"/>
      <c r="B680" s="103"/>
      <c r="C680" s="103"/>
      <c r="D680" s="103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  <c r="AD680" s="104"/>
      <c r="AE680" s="104"/>
    </row>
    <row r="681">
      <c r="A681" s="103"/>
      <c r="B681" s="103"/>
      <c r="C681" s="103"/>
      <c r="D681" s="103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  <c r="AD681" s="104"/>
      <c r="AE681" s="104"/>
    </row>
    <row r="682">
      <c r="A682" s="103"/>
      <c r="B682" s="103"/>
      <c r="C682" s="103"/>
      <c r="D682" s="103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  <c r="AD682" s="104"/>
      <c r="AE682" s="104"/>
    </row>
    <row r="683">
      <c r="A683" s="103"/>
      <c r="B683" s="103"/>
      <c r="C683" s="103"/>
      <c r="D683" s="103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  <c r="AD683" s="104"/>
      <c r="AE683" s="104"/>
    </row>
    <row r="684">
      <c r="A684" s="103"/>
      <c r="B684" s="103"/>
      <c r="C684" s="103"/>
      <c r="D684" s="103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  <c r="AD684" s="104"/>
      <c r="AE684" s="104"/>
    </row>
    <row r="685">
      <c r="A685" s="103"/>
      <c r="B685" s="103"/>
      <c r="C685" s="103"/>
      <c r="D685" s="103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  <c r="AD685" s="104"/>
      <c r="AE685" s="104"/>
    </row>
    <row r="686">
      <c r="A686" s="103"/>
      <c r="B686" s="103"/>
      <c r="C686" s="103"/>
      <c r="D686" s="103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  <c r="AD686" s="104"/>
      <c r="AE686" s="104"/>
    </row>
    <row r="687">
      <c r="A687" s="103"/>
      <c r="B687" s="103"/>
      <c r="C687" s="103"/>
      <c r="D687" s="103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  <c r="AD687" s="104"/>
      <c r="AE687" s="104"/>
    </row>
    <row r="688">
      <c r="A688" s="103"/>
      <c r="B688" s="103"/>
      <c r="C688" s="103"/>
      <c r="D688" s="103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  <c r="AD688" s="104"/>
      <c r="AE688" s="104"/>
    </row>
    <row r="689">
      <c r="A689" s="103"/>
      <c r="B689" s="103"/>
      <c r="C689" s="103"/>
      <c r="D689" s="103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  <c r="AD689" s="104"/>
      <c r="AE689" s="104"/>
    </row>
    <row r="690">
      <c r="A690" s="103"/>
      <c r="B690" s="103"/>
      <c r="C690" s="103"/>
      <c r="D690" s="103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  <c r="AD690" s="104"/>
      <c r="AE690" s="104"/>
    </row>
    <row r="691">
      <c r="A691" s="103"/>
      <c r="B691" s="103"/>
      <c r="C691" s="103"/>
      <c r="D691" s="103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  <c r="AD691" s="104"/>
      <c r="AE691" s="104"/>
    </row>
    <row r="692">
      <c r="A692" s="103"/>
      <c r="B692" s="103"/>
      <c r="C692" s="103"/>
      <c r="D692" s="103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  <c r="AD692" s="104"/>
      <c r="AE692" s="104"/>
    </row>
    <row r="693">
      <c r="A693" s="103"/>
      <c r="B693" s="103"/>
      <c r="C693" s="103"/>
      <c r="D693" s="103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  <c r="AD693" s="104"/>
      <c r="AE693" s="104"/>
    </row>
    <row r="694">
      <c r="A694" s="103"/>
      <c r="B694" s="103"/>
      <c r="C694" s="103"/>
      <c r="D694" s="103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  <c r="AD694" s="104"/>
      <c r="AE694" s="104"/>
    </row>
    <row r="695">
      <c r="A695" s="103"/>
      <c r="B695" s="103"/>
      <c r="C695" s="103"/>
      <c r="D695" s="103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  <c r="AD695" s="104"/>
      <c r="AE695" s="104"/>
    </row>
    <row r="696">
      <c r="A696" s="103"/>
      <c r="B696" s="103"/>
      <c r="C696" s="103"/>
      <c r="D696" s="103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  <c r="AD696" s="104"/>
      <c r="AE696" s="104"/>
    </row>
    <row r="697">
      <c r="A697" s="103"/>
      <c r="B697" s="103"/>
      <c r="C697" s="103"/>
      <c r="D697" s="103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  <c r="AD697" s="104"/>
      <c r="AE697" s="104"/>
    </row>
    <row r="698">
      <c r="A698" s="103"/>
      <c r="B698" s="103"/>
      <c r="C698" s="103"/>
      <c r="D698" s="103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  <c r="AD698" s="104"/>
      <c r="AE698" s="104"/>
    </row>
    <row r="699">
      <c r="A699" s="103"/>
      <c r="B699" s="103"/>
      <c r="C699" s="103"/>
      <c r="D699" s="103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  <c r="AD699" s="104"/>
      <c r="AE699" s="104"/>
    </row>
    <row r="700">
      <c r="A700" s="103"/>
      <c r="B700" s="103"/>
      <c r="C700" s="103"/>
      <c r="D700" s="103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  <c r="AD700" s="104"/>
      <c r="AE700" s="104"/>
    </row>
    <row r="701">
      <c r="A701" s="103"/>
      <c r="B701" s="103"/>
      <c r="C701" s="103"/>
      <c r="D701" s="103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  <c r="AD701" s="104"/>
      <c r="AE701" s="104"/>
    </row>
    <row r="702">
      <c r="A702" s="103"/>
      <c r="B702" s="103"/>
      <c r="C702" s="103"/>
      <c r="D702" s="103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  <c r="AD702" s="104"/>
      <c r="AE702" s="104"/>
    </row>
    <row r="703">
      <c r="A703" s="103"/>
      <c r="B703" s="103"/>
      <c r="C703" s="103"/>
      <c r="D703" s="103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  <c r="AD703" s="104"/>
      <c r="AE703" s="104"/>
    </row>
    <row r="704">
      <c r="A704" s="103"/>
      <c r="B704" s="103"/>
      <c r="C704" s="103"/>
      <c r="D704" s="103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  <c r="AD704" s="104"/>
      <c r="AE704" s="104"/>
    </row>
    <row r="705">
      <c r="A705" s="103"/>
      <c r="B705" s="103"/>
      <c r="C705" s="103"/>
      <c r="D705" s="103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  <c r="AD705" s="104"/>
      <c r="AE705" s="104"/>
    </row>
    <row r="706">
      <c r="A706" s="103"/>
      <c r="B706" s="103"/>
      <c r="C706" s="103"/>
      <c r="D706" s="103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  <c r="AD706" s="104"/>
      <c r="AE706" s="104"/>
    </row>
    <row r="707">
      <c r="A707" s="103"/>
      <c r="B707" s="103"/>
      <c r="C707" s="103"/>
      <c r="D707" s="103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  <c r="AD707" s="104"/>
      <c r="AE707" s="104"/>
    </row>
    <row r="708">
      <c r="A708" s="103"/>
      <c r="B708" s="103"/>
      <c r="C708" s="103"/>
      <c r="D708" s="103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  <c r="AD708" s="104"/>
      <c r="AE708" s="104"/>
    </row>
    <row r="709">
      <c r="A709" s="103"/>
      <c r="B709" s="103"/>
      <c r="C709" s="103"/>
      <c r="D709" s="103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  <c r="AD709" s="104"/>
      <c r="AE709" s="104"/>
    </row>
    <row r="710">
      <c r="A710" s="103"/>
      <c r="B710" s="103"/>
      <c r="C710" s="103"/>
      <c r="D710" s="103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  <c r="AD710" s="104"/>
      <c r="AE710" s="104"/>
    </row>
    <row r="711">
      <c r="A711" s="103"/>
      <c r="B711" s="103"/>
      <c r="C711" s="103"/>
      <c r="D711" s="103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  <c r="AD711" s="104"/>
      <c r="AE711" s="104"/>
    </row>
    <row r="712">
      <c r="A712" s="103"/>
      <c r="B712" s="103"/>
      <c r="C712" s="103"/>
      <c r="D712" s="103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  <c r="AD712" s="104"/>
      <c r="AE712" s="104"/>
    </row>
    <row r="713">
      <c r="A713" s="103"/>
      <c r="B713" s="103"/>
      <c r="C713" s="103"/>
      <c r="D713" s="103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  <c r="AE713" s="104"/>
    </row>
    <row r="714">
      <c r="A714" s="103"/>
      <c r="B714" s="103"/>
      <c r="C714" s="103"/>
      <c r="D714" s="103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  <c r="AE714" s="104"/>
    </row>
    <row r="715">
      <c r="A715" s="103"/>
      <c r="B715" s="103"/>
      <c r="C715" s="103"/>
      <c r="D715" s="103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  <c r="AE715" s="104"/>
    </row>
    <row r="716">
      <c r="A716" s="103"/>
      <c r="B716" s="103"/>
      <c r="C716" s="103"/>
      <c r="D716" s="103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  <c r="AE716" s="104"/>
    </row>
    <row r="717">
      <c r="A717" s="103"/>
      <c r="B717" s="103"/>
      <c r="C717" s="103"/>
      <c r="D717" s="103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  <c r="AD717" s="104"/>
      <c r="AE717" s="104"/>
    </row>
    <row r="718">
      <c r="A718" s="103"/>
      <c r="B718" s="103"/>
      <c r="C718" s="103"/>
      <c r="D718" s="103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  <c r="AD718" s="104"/>
      <c r="AE718" s="104"/>
    </row>
    <row r="719">
      <c r="A719" s="103"/>
      <c r="B719" s="103"/>
      <c r="C719" s="103"/>
      <c r="D719" s="103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  <c r="AD719" s="104"/>
      <c r="AE719" s="104"/>
    </row>
    <row r="720">
      <c r="A720" s="103"/>
      <c r="B720" s="103"/>
      <c r="C720" s="103"/>
      <c r="D720" s="103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  <c r="AD720" s="104"/>
      <c r="AE720" s="104"/>
    </row>
    <row r="721">
      <c r="A721" s="103"/>
      <c r="B721" s="103"/>
      <c r="C721" s="103"/>
      <c r="D721" s="103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  <c r="AD721" s="104"/>
      <c r="AE721" s="104"/>
    </row>
    <row r="722">
      <c r="A722" s="103"/>
      <c r="B722" s="103"/>
      <c r="C722" s="103"/>
      <c r="D722" s="103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  <c r="AD722" s="104"/>
      <c r="AE722" s="104"/>
    </row>
    <row r="723">
      <c r="A723" s="103"/>
      <c r="B723" s="103"/>
      <c r="C723" s="103"/>
      <c r="D723" s="103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  <c r="AD723" s="104"/>
      <c r="AE723" s="104"/>
    </row>
    <row r="724">
      <c r="A724" s="103"/>
      <c r="B724" s="103"/>
      <c r="C724" s="103"/>
      <c r="D724" s="103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  <c r="AD724" s="104"/>
      <c r="AE724" s="104"/>
    </row>
    <row r="725">
      <c r="A725" s="103"/>
      <c r="B725" s="103"/>
      <c r="C725" s="103"/>
      <c r="D725" s="103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  <c r="AD725" s="104"/>
      <c r="AE725" s="104"/>
    </row>
    <row r="726">
      <c r="A726" s="103"/>
      <c r="B726" s="103"/>
      <c r="C726" s="103"/>
      <c r="D726" s="103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  <c r="AD726" s="104"/>
      <c r="AE726" s="104"/>
    </row>
    <row r="727">
      <c r="A727" s="103"/>
      <c r="B727" s="103"/>
      <c r="C727" s="103"/>
      <c r="D727" s="103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  <c r="AD727" s="104"/>
      <c r="AE727" s="104"/>
    </row>
    <row r="728">
      <c r="A728" s="103"/>
      <c r="B728" s="103"/>
      <c r="C728" s="103"/>
      <c r="D728" s="103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  <c r="AD728" s="104"/>
      <c r="AE728" s="104"/>
    </row>
    <row r="729">
      <c r="A729" s="103"/>
      <c r="B729" s="103"/>
      <c r="C729" s="103"/>
      <c r="D729" s="103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  <c r="AC729" s="104"/>
      <c r="AD729" s="104"/>
      <c r="AE729" s="104"/>
    </row>
    <row r="730">
      <c r="A730" s="103"/>
      <c r="B730" s="103"/>
      <c r="C730" s="103"/>
      <c r="D730" s="103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  <c r="AC730" s="104"/>
      <c r="AD730" s="104"/>
      <c r="AE730" s="104"/>
    </row>
    <row r="731">
      <c r="A731" s="103"/>
      <c r="B731" s="103"/>
      <c r="C731" s="103"/>
      <c r="D731" s="103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  <c r="AC731" s="104"/>
      <c r="AD731" s="104"/>
      <c r="AE731" s="104"/>
    </row>
    <row r="732">
      <c r="A732" s="103"/>
      <c r="B732" s="103"/>
      <c r="C732" s="103"/>
      <c r="D732" s="103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  <c r="AC732" s="104"/>
      <c r="AD732" s="104"/>
      <c r="AE732" s="104"/>
    </row>
    <row r="733">
      <c r="A733" s="103"/>
      <c r="B733" s="103"/>
      <c r="C733" s="103"/>
      <c r="D733" s="103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  <c r="AD733" s="104"/>
      <c r="AE733" s="104"/>
    </row>
    <row r="734">
      <c r="A734" s="103"/>
      <c r="B734" s="103"/>
      <c r="C734" s="103"/>
      <c r="D734" s="103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  <c r="AD734" s="104"/>
      <c r="AE734" s="104"/>
    </row>
    <row r="735">
      <c r="A735" s="103"/>
      <c r="B735" s="103"/>
      <c r="C735" s="103"/>
      <c r="D735" s="103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  <c r="AD735" s="104"/>
      <c r="AE735" s="104"/>
    </row>
    <row r="736">
      <c r="A736" s="103"/>
      <c r="B736" s="103"/>
      <c r="C736" s="103"/>
      <c r="D736" s="103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  <c r="AD736" s="104"/>
      <c r="AE736" s="104"/>
    </row>
    <row r="737">
      <c r="A737" s="103"/>
      <c r="B737" s="103"/>
      <c r="C737" s="103"/>
      <c r="D737" s="103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  <c r="AD737" s="104"/>
      <c r="AE737" s="104"/>
    </row>
    <row r="738">
      <c r="A738" s="103"/>
      <c r="B738" s="103"/>
      <c r="C738" s="103"/>
      <c r="D738" s="103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  <c r="AD738" s="104"/>
      <c r="AE738" s="104"/>
    </row>
    <row r="739">
      <c r="A739" s="103"/>
      <c r="B739" s="103"/>
      <c r="C739" s="103"/>
      <c r="D739" s="103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  <c r="AC739" s="104"/>
      <c r="AD739" s="104"/>
      <c r="AE739" s="104"/>
    </row>
    <row r="740">
      <c r="A740" s="103"/>
      <c r="B740" s="103"/>
      <c r="C740" s="103"/>
      <c r="D740" s="103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  <c r="AC740" s="104"/>
      <c r="AD740" s="104"/>
      <c r="AE740" s="104"/>
    </row>
    <row r="741">
      <c r="A741" s="103"/>
      <c r="B741" s="103"/>
      <c r="C741" s="103"/>
      <c r="D741" s="103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  <c r="AC741" s="104"/>
      <c r="AD741" s="104"/>
      <c r="AE741" s="104"/>
    </row>
    <row r="742">
      <c r="A742" s="103"/>
      <c r="B742" s="103"/>
      <c r="C742" s="103"/>
      <c r="D742" s="103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  <c r="AC742" s="104"/>
      <c r="AD742" s="104"/>
      <c r="AE742" s="104"/>
    </row>
    <row r="743">
      <c r="A743" s="103"/>
      <c r="B743" s="103"/>
      <c r="C743" s="103"/>
      <c r="D743" s="103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  <c r="AD743" s="104"/>
      <c r="AE743" s="104"/>
    </row>
    <row r="744">
      <c r="A744" s="103"/>
      <c r="B744" s="103"/>
      <c r="C744" s="103"/>
      <c r="D744" s="103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  <c r="AD744" s="104"/>
      <c r="AE744" s="104"/>
    </row>
    <row r="745">
      <c r="A745" s="103"/>
      <c r="B745" s="103"/>
      <c r="C745" s="103"/>
      <c r="D745" s="103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  <c r="AD745" s="104"/>
      <c r="AE745" s="104"/>
    </row>
    <row r="746">
      <c r="A746" s="103"/>
      <c r="B746" s="103"/>
      <c r="C746" s="103"/>
      <c r="D746" s="103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  <c r="AD746" s="104"/>
      <c r="AE746" s="104"/>
    </row>
    <row r="747">
      <c r="A747" s="103"/>
      <c r="B747" s="103"/>
      <c r="C747" s="103"/>
      <c r="D747" s="103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  <c r="AD747" s="104"/>
      <c r="AE747" s="104"/>
    </row>
    <row r="748">
      <c r="A748" s="103"/>
      <c r="B748" s="103"/>
      <c r="C748" s="103"/>
      <c r="D748" s="103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  <c r="AD748" s="104"/>
      <c r="AE748" s="104"/>
    </row>
    <row r="749">
      <c r="A749" s="103"/>
      <c r="B749" s="103"/>
      <c r="C749" s="103"/>
      <c r="D749" s="103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  <c r="AD749" s="104"/>
      <c r="AE749" s="104"/>
    </row>
    <row r="750">
      <c r="A750" s="103"/>
      <c r="B750" s="103"/>
      <c r="C750" s="103"/>
      <c r="D750" s="103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  <c r="AD750" s="104"/>
      <c r="AE750" s="104"/>
    </row>
    <row r="751">
      <c r="A751" s="103"/>
      <c r="B751" s="103"/>
      <c r="C751" s="103"/>
      <c r="D751" s="103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  <c r="AD751" s="104"/>
      <c r="AE751" s="104"/>
    </row>
    <row r="752">
      <c r="A752" s="103"/>
      <c r="B752" s="103"/>
      <c r="C752" s="103"/>
      <c r="D752" s="103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  <c r="AD752" s="104"/>
      <c r="AE752" s="104"/>
    </row>
    <row r="753">
      <c r="A753" s="103"/>
      <c r="B753" s="103"/>
      <c r="C753" s="103"/>
      <c r="D753" s="103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  <c r="AD753" s="104"/>
      <c r="AE753" s="104"/>
    </row>
    <row r="754">
      <c r="A754" s="103"/>
      <c r="B754" s="103"/>
      <c r="C754" s="103"/>
      <c r="D754" s="103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  <c r="AD754" s="104"/>
      <c r="AE754" s="104"/>
    </row>
    <row r="755">
      <c r="A755" s="103"/>
      <c r="B755" s="103"/>
      <c r="C755" s="103"/>
      <c r="D755" s="103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  <c r="AD755" s="104"/>
      <c r="AE755" s="104"/>
    </row>
    <row r="756">
      <c r="A756" s="103"/>
      <c r="B756" s="103"/>
      <c r="C756" s="103"/>
      <c r="D756" s="103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  <c r="AD756" s="104"/>
      <c r="AE756" s="104"/>
    </row>
    <row r="757">
      <c r="A757" s="103"/>
      <c r="B757" s="103"/>
      <c r="C757" s="103"/>
      <c r="D757" s="103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  <c r="AD757" s="104"/>
      <c r="AE757" s="104"/>
    </row>
    <row r="758">
      <c r="A758" s="103"/>
      <c r="B758" s="103"/>
      <c r="C758" s="103"/>
      <c r="D758" s="103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  <c r="AD758" s="104"/>
      <c r="AE758" s="104"/>
    </row>
    <row r="759">
      <c r="A759" s="103"/>
      <c r="B759" s="103"/>
      <c r="C759" s="103"/>
      <c r="D759" s="103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  <c r="AD759" s="104"/>
      <c r="AE759" s="104"/>
    </row>
    <row r="760">
      <c r="A760" s="103"/>
      <c r="B760" s="103"/>
      <c r="C760" s="103"/>
      <c r="D760" s="103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  <c r="AD760" s="104"/>
      <c r="AE760" s="104"/>
    </row>
    <row r="761">
      <c r="A761" s="103"/>
      <c r="B761" s="103"/>
      <c r="C761" s="103"/>
      <c r="D761" s="103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  <c r="AD761" s="104"/>
      <c r="AE761" s="104"/>
    </row>
    <row r="762">
      <c r="A762" s="103"/>
      <c r="B762" s="103"/>
      <c r="C762" s="103"/>
      <c r="D762" s="103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  <c r="AD762" s="104"/>
      <c r="AE762" s="104"/>
    </row>
    <row r="763">
      <c r="A763" s="103"/>
      <c r="B763" s="103"/>
      <c r="C763" s="103"/>
      <c r="D763" s="103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  <c r="AD763" s="104"/>
      <c r="AE763" s="104"/>
    </row>
    <row r="764">
      <c r="A764" s="103"/>
      <c r="B764" s="103"/>
      <c r="C764" s="103"/>
      <c r="D764" s="103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  <c r="AD764" s="104"/>
      <c r="AE764" s="104"/>
    </row>
    <row r="765">
      <c r="A765" s="103"/>
      <c r="B765" s="103"/>
      <c r="C765" s="103"/>
      <c r="D765" s="103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  <c r="AD765" s="104"/>
      <c r="AE765" s="104"/>
    </row>
    <row r="766">
      <c r="A766" s="103"/>
      <c r="B766" s="103"/>
      <c r="C766" s="103"/>
      <c r="D766" s="103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  <c r="AD766" s="104"/>
      <c r="AE766" s="104"/>
    </row>
    <row r="767">
      <c r="A767" s="103"/>
      <c r="B767" s="103"/>
      <c r="C767" s="103"/>
      <c r="D767" s="103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  <c r="AD767" s="104"/>
      <c r="AE767" s="104"/>
    </row>
    <row r="768">
      <c r="A768" s="103"/>
      <c r="B768" s="103"/>
      <c r="C768" s="103"/>
      <c r="D768" s="103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  <c r="AD768" s="104"/>
      <c r="AE768" s="104"/>
    </row>
    <row r="769">
      <c r="A769" s="103"/>
      <c r="B769" s="103"/>
      <c r="C769" s="103"/>
      <c r="D769" s="103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  <c r="AD769" s="104"/>
      <c r="AE769" s="104"/>
    </row>
    <row r="770">
      <c r="A770" s="103"/>
      <c r="B770" s="103"/>
      <c r="C770" s="103"/>
      <c r="D770" s="103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  <c r="AD770" s="104"/>
      <c r="AE770" s="104"/>
    </row>
    <row r="771">
      <c r="A771" s="103"/>
      <c r="B771" s="103"/>
      <c r="C771" s="103"/>
      <c r="D771" s="103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  <c r="AD771" s="104"/>
      <c r="AE771" s="104"/>
    </row>
    <row r="772">
      <c r="A772" s="103"/>
      <c r="B772" s="103"/>
      <c r="C772" s="103"/>
      <c r="D772" s="103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  <c r="AD772" s="104"/>
      <c r="AE772" s="104"/>
    </row>
    <row r="773">
      <c r="A773" s="103"/>
      <c r="B773" s="103"/>
      <c r="C773" s="103"/>
      <c r="D773" s="103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  <c r="AD773" s="104"/>
      <c r="AE773" s="104"/>
    </row>
    <row r="774">
      <c r="A774" s="103"/>
      <c r="B774" s="103"/>
      <c r="C774" s="103"/>
      <c r="D774" s="103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  <c r="AD774" s="104"/>
      <c r="AE774" s="104"/>
    </row>
    <row r="775">
      <c r="A775" s="103"/>
      <c r="B775" s="103"/>
      <c r="C775" s="103"/>
      <c r="D775" s="103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  <c r="AD775" s="104"/>
      <c r="AE775" s="104"/>
    </row>
    <row r="776">
      <c r="A776" s="103"/>
      <c r="B776" s="103"/>
      <c r="C776" s="103"/>
      <c r="D776" s="103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  <c r="AC776" s="104"/>
      <c r="AD776" s="104"/>
      <c r="AE776" s="104"/>
    </row>
    <row r="777">
      <c r="A777" s="103"/>
      <c r="B777" s="103"/>
      <c r="C777" s="103"/>
      <c r="D777" s="103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  <c r="AC777" s="104"/>
      <c r="AD777" s="104"/>
      <c r="AE777" s="104"/>
    </row>
    <row r="778">
      <c r="A778" s="103"/>
      <c r="B778" s="103"/>
      <c r="C778" s="103"/>
      <c r="D778" s="103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  <c r="AC778" s="104"/>
      <c r="AD778" s="104"/>
      <c r="AE778" s="104"/>
    </row>
    <row r="779">
      <c r="A779" s="103"/>
      <c r="B779" s="103"/>
      <c r="C779" s="103"/>
      <c r="D779" s="103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  <c r="AC779" s="104"/>
      <c r="AD779" s="104"/>
      <c r="AE779" s="104"/>
    </row>
    <row r="780">
      <c r="A780" s="103"/>
      <c r="B780" s="103"/>
      <c r="C780" s="103"/>
      <c r="D780" s="103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  <c r="AC780" s="104"/>
      <c r="AD780" s="104"/>
      <c r="AE780" s="104"/>
    </row>
    <row r="781">
      <c r="A781" s="103"/>
      <c r="B781" s="103"/>
      <c r="C781" s="103"/>
      <c r="D781" s="103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  <c r="AC781" s="104"/>
      <c r="AD781" s="104"/>
      <c r="AE781" s="104"/>
    </row>
    <row r="782">
      <c r="A782" s="103"/>
      <c r="B782" s="103"/>
      <c r="C782" s="103"/>
      <c r="D782" s="103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  <c r="AC782" s="104"/>
      <c r="AD782" s="104"/>
      <c r="AE782" s="104"/>
    </row>
    <row r="783">
      <c r="A783" s="103"/>
      <c r="B783" s="103"/>
      <c r="C783" s="103"/>
      <c r="D783" s="103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  <c r="AC783" s="104"/>
      <c r="AD783" s="104"/>
      <c r="AE783" s="104"/>
    </row>
    <row r="784">
      <c r="A784" s="103"/>
      <c r="B784" s="103"/>
      <c r="C784" s="103"/>
      <c r="D784" s="103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  <c r="AC784" s="104"/>
      <c r="AD784" s="104"/>
      <c r="AE784" s="104"/>
    </row>
    <row r="785">
      <c r="A785" s="103"/>
      <c r="B785" s="103"/>
      <c r="C785" s="103"/>
      <c r="D785" s="103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  <c r="AD785" s="104"/>
      <c r="AE785" s="104"/>
    </row>
    <row r="786">
      <c r="A786" s="103"/>
      <c r="B786" s="103"/>
      <c r="C786" s="103"/>
      <c r="D786" s="103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  <c r="AD786" s="104"/>
      <c r="AE786" s="104"/>
    </row>
    <row r="787">
      <c r="A787" s="103"/>
      <c r="B787" s="103"/>
      <c r="C787" s="103"/>
      <c r="D787" s="103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  <c r="AD787" s="104"/>
      <c r="AE787" s="104"/>
    </row>
    <row r="788">
      <c r="A788" s="103"/>
      <c r="B788" s="103"/>
      <c r="C788" s="103"/>
      <c r="D788" s="103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  <c r="AC788" s="104"/>
      <c r="AD788" s="104"/>
      <c r="AE788" s="104"/>
    </row>
    <row r="789">
      <c r="A789" s="103"/>
      <c r="B789" s="103"/>
      <c r="C789" s="103"/>
      <c r="D789" s="103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  <c r="AC789" s="104"/>
      <c r="AD789" s="104"/>
      <c r="AE789" s="104"/>
    </row>
    <row r="790">
      <c r="A790" s="103"/>
      <c r="B790" s="103"/>
      <c r="C790" s="103"/>
      <c r="D790" s="103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  <c r="AC790" s="104"/>
      <c r="AD790" s="104"/>
      <c r="AE790" s="104"/>
    </row>
    <row r="791">
      <c r="A791" s="103"/>
      <c r="B791" s="103"/>
      <c r="C791" s="103"/>
      <c r="D791" s="103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  <c r="AC791" s="104"/>
      <c r="AD791" s="104"/>
      <c r="AE791" s="104"/>
    </row>
    <row r="792">
      <c r="A792" s="103"/>
      <c r="B792" s="103"/>
      <c r="C792" s="103"/>
      <c r="D792" s="103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  <c r="AC792" s="104"/>
      <c r="AD792" s="104"/>
      <c r="AE792" s="104"/>
    </row>
    <row r="793">
      <c r="A793" s="103"/>
      <c r="B793" s="103"/>
      <c r="C793" s="103"/>
      <c r="D793" s="103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  <c r="AC793" s="104"/>
      <c r="AD793" s="104"/>
      <c r="AE793" s="104"/>
    </row>
    <row r="794">
      <c r="A794" s="103"/>
      <c r="B794" s="103"/>
      <c r="C794" s="103"/>
      <c r="D794" s="103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  <c r="AD794" s="104"/>
      <c r="AE794" s="104"/>
    </row>
    <row r="795">
      <c r="A795" s="103"/>
      <c r="B795" s="103"/>
      <c r="C795" s="103"/>
      <c r="D795" s="103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  <c r="AD795" s="104"/>
      <c r="AE795" s="104"/>
    </row>
    <row r="796">
      <c r="A796" s="103"/>
      <c r="B796" s="103"/>
      <c r="C796" s="103"/>
      <c r="D796" s="103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  <c r="AD796" s="104"/>
      <c r="AE796" s="104"/>
    </row>
    <row r="797">
      <c r="A797" s="103"/>
      <c r="B797" s="103"/>
      <c r="C797" s="103"/>
      <c r="D797" s="103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  <c r="AD797" s="104"/>
      <c r="AE797" s="104"/>
    </row>
    <row r="798">
      <c r="A798" s="103"/>
      <c r="B798" s="103"/>
      <c r="C798" s="103"/>
      <c r="D798" s="103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  <c r="AD798" s="104"/>
      <c r="AE798" s="104"/>
    </row>
    <row r="799">
      <c r="A799" s="103"/>
      <c r="B799" s="103"/>
      <c r="C799" s="103"/>
      <c r="D799" s="103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  <c r="AC799" s="104"/>
      <c r="AD799" s="104"/>
      <c r="AE799" s="104"/>
    </row>
    <row r="800">
      <c r="A800" s="103"/>
      <c r="B800" s="103"/>
      <c r="C800" s="103"/>
      <c r="D800" s="103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  <c r="AC800" s="104"/>
      <c r="AD800" s="104"/>
      <c r="AE800" s="104"/>
    </row>
    <row r="801">
      <c r="A801" s="103"/>
      <c r="B801" s="103"/>
      <c r="C801" s="103"/>
      <c r="D801" s="103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  <c r="AC801" s="104"/>
      <c r="AD801" s="104"/>
      <c r="AE801" s="104"/>
    </row>
    <row r="802">
      <c r="A802" s="103"/>
      <c r="B802" s="103"/>
      <c r="C802" s="103"/>
      <c r="D802" s="103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  <c r="AD802" s="104"/>
      <c r="AE802" s="104"/>
    </row>
    <row r="803">
      <c r="A803" s="103"/>
      <c r="B803" s="103"/>
      <c r="C803" s="103"/>
      <c r="D803" s="103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  <c r="AD803" s="104"/>
      <c r="AE803" s="104"/>
    </row>
    <row r="804">
      <c r="A804" s="103"/>
      <c r="B804" s="103"/>
      <c r="C804" s="103"/>
      <c r="D804" s="103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  <c r="AD804" s="104"/>
      <c r="AE804" s="104"/>
    </row>
    <row r="805">
      <c r="A805" s="103"/>
      <c r="B805" s="103"/>
      <c r="C805" s="103"/>
      <c r="D805" s="103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  <c r="AD805" s="104"/>
      <c r="AE805" s="104"/>
    </row>
    <row r="806">
      <c r="A806" s="103"/>
      <c r="B806" s="103"/>
      <c r="C806" s="103"/>
      <c r="D806" s="103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  <c r="AD806" s="104"/>
      <c r="AE806" s="104"/>
    </row>
    <row r="807">
      <c r="A807" s="103"/>
      <c r="B807" s="103"/>
      <c r="C807" s="103"/>
      <c r="D807" s="103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  <c r="AD807" s="104"/>
      <c r="AE807" s="104"/>
    </row>
    <row r="808">
      <c r="A808" s="103"/>
      <c r="B808" s="103"/>
      <c r="C808" s="103"/>
      <c r="D808" s="103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  <c r="AD808" s="104"/>
      <c r="AE808" s="104"/>
    </row>
    <row r="809">
      <c r="A809" s="103"/>
      <c r="B809" s="103"/>
      <c r="C809" s="103"/>
      <c r="D809" s="103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  <c r="AC809" s="104"/>
      <c r="AD809" s="104"/>
      <c r="AE809" s="104"/>
    </row>
    <row r="810">
      <c r="A810" s="103"/>
      <c r="B810" s="103"/>
      <c r="C810" s="103"/>
      <c r="D810" s="103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  <c r="AC810" s="104"/>
      <c r="AD810" s="104"/>
      <c r="AE810" s="104"/>
    </row>
    <row r="811">
      <c r="A811" s="103"/>
      <c r="B811" s="103"/>
      <c r="C811" s="103"/>
      <c r="D811" s="103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  <c r="AC811" s="104"/>
      <c r="AD811" s="104"/>
      <c r="AE811" s="104"/>
    </row>
    <row r="812">
      <c r="A812" s="103"/>
      <c r="B812" s="103"/>
      <c r="C812" s="103"/>
      <c r="D812" s="103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  <c r="AC812" s="104"/>
      <c r="AD812" s="104"/>
      <c r="AE812" s="104"/>
    </row>
    <row r="813">
      <c r="A813" s="103"/>
      <c r="B813" s="103"/>
      <c r="C813" s="103"/>
      <c r="D813" s="103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  <c r="AC813" s="104"/>
      <c r="AD813" s="104"/>
      <c r="AE813" s="104"/>
    </row>
    <row r="814">
      <c r="A814" s="103"/>
      <c r="B814" s="103"/>
      <c r="C814" s="103"/>
      <c r="D814" s="103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  <c r="AC814" s="104"/>
      <c r="AD814" s="104"/>
      <c r="AE814" s="104"/>
    </row>
    <row r="815">
      <c r="A815" s="103"/>
      <c r="B815" s="103"/>
      <c r="C815" s="103"/>
      <c r="D815" s="103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  <c r="AC815" s="104"/>
      <c r="AD815" s="104"/>
      <c r="AE815" s="104"/>
    </row>
    <row r="816">
      <c r="A816" s="103"/>
      <c r="B816" s="103"/>
      <c r="C816" s="103"/>
      <c r="D816" s="103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  <c r="AC816" s="104"/>
      <c r="AD816" s="104"/>
      <c r="AE816" s="104"/>
    </row>
    <row r="817">
      <c r="A817" s="103"/>
      <c r="B817" s="103"/>
      <c r="C817" s="103"/>
      <c r="D817" s="103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  <c r="AC817" s="104"/>
      <c r="AD817" s="104"/>
      <c r="AE817" s="104"/>
    </row>
    <row r="818">
      <c r="A818" s="103"/>
      <c r="B818" s="103"/>
      <c r="C818" s="103"/>
      <c r="D818" s="103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  <c r="AC818" s="104"/>
      <c r="AD818" s="104"/>
      <c r="AE818" s="104"/>
    </row>
    <row r="819">
      <c r="A819" s="103"/>
      <c r="B819" s="103"/>
      <c r="C819" s="103"/>
      <c r="D819" s="103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  <c r="AC819" s="104"/>
      <c r="AD819" s="104"/>
      <c r="AE819" s="104"/>
    </row>
    <row r="820">
      <c r="A820" s="103"/>
      <c r="B820" s="103"/>
      <c r="C820" s="103"/>
      <c r="D820" s="103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  <c r="AC820" s="104"/>
      <c r="AD820" s="104"/>
      <c r="AE820" s="104"/>
    </row>
    <row r="821">
      <c r="A821" s="103"/>
      <c r="B821" s="103"/>
      <c r="C821" s="103"/>
      <c r="D821" s="103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  <c r="AC821" s="104"/>
      <c r="AD821" s="104"/>
      <c r="AE821" s="104"/>
    </row>
    <row r="822">
      <c r="A822" s="103"/>
      <c r="B822" s="103"/>
      <c r="C822" s="103"/>
      <c r="D822" s="103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  <c r="AC822" s="104"/>
      <c r="AD822" s="104"/>
      <c r="AE822" s="104"/>
    </row>
    <row r="823">
      <c r="A823" s="103"/>
      <c r="B823" s="103"/>
      <c r="C823" s="103"/>
      <c r="D823" s="103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  <c r="AC823" s="104"/>
      <c r="AD823" s="104"/>
      <c r="AE823" s="104"/>
    </row>
    <row r="824">
      <c r="A824" s="103"/>
      <c r="B824" s="103"/>
      <c r="C824" s="103"/>
      <c r="D824" s="103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  <c r="AC824" s="104"/>
      <c r="AD824" s="104"/>
      <c r="AE824" s="104"/>
    </row>
    <row r="825">
      <c r="A825" s="103"/>
      <c r="B825" s="103"/>
      <c r="C825" s="103"/>
      <c r="D825" s="103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  <c r="AC825" s="104"/>
      <c r="AD825" s="104"/>
      <c r="AE825" s="104"/>
    </row>
    <row r="826">
      <c r="A826" s="103"/>
      <c r="B826" s="103"/>
      <c r="C826" s="103"/>
      <c r="D826" s="103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  <c r="AC826" s="104"/>
      <c r="AD826" s="104"/>
      <c r="AE826" s="104"/>
    </row>
    <row r="827">
      <c r="A827" s="103"/>
      <c r="B827" s="103"/>
      <c r="C827" s="103"/>
      <c r="D827" s="103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  <c r="AC827" s="104"/>
      <c r="AD827" s="104"/>
      <c r="AE827" s="104"/>
    </row>
    <row r="828">
      <c r="A828" s="103"/>
      <c r="B828" s="103"/>
      <c r="C828" s="103"/>
      <c r="D828" s="103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  <c r="AC828" s="104"/>
      <c r="AD828" s="104"/>
      <c r="AE828" s="104"/>
    </row>
    <row r="829">
      <c r="A829" s="103"/>
      <c r="B829" s="103"/>
      <c r="C829" s="103"/>
      <c r="D829" s="103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  <c r="AC829" s="104"/>
      <c r="AD829" s="104"/>
      <c r="AE829" s="104"/>
    </row>
    <row r="830">
      <c r="A830" s="103"/>
      <c r="B830" s="103"/>
      <c r="C830" s="103"/>
      <c r="D830" s="103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  <c r="AC830" s="104"/>
      <c r="AD830" s="104"/>
      <c r="AE830" s="104"/>
    </row>
    <row r="831">
      <c r="A831" s="103"/>
      <c r="B831" s="103"/>
      <c r="C831" s="103"/>
      <c r="D831" s="103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  <c r="AC831" s="104"/>
      <c r="AD831" s="104"/>
      <c r="AE831" s="104"/>
    </row>
    <row r="832">
      <c r="A832" s="103"/>
      <c r="B832" s="103"/>
      <c r="C832" s="103"/>
      <c r="D832" s="103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  <c r="AC832" s="104"/>
      <c r="AD832" s="104"/>
      <c r="AE832" s="104"/>
    </row>
    <row r="833">
      <c r="A833" s="103"/>
      <c r="B833" s="103"/>
      <c r="C833" s="103"/>
      <c r="D833" s="103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  <c r="AC833" s="104"/>
      <c r="AD833" s="104"/>
      <c r="AE833" s="104"/>
    </row>
    <row r="834">
      <c r="A834" s="103"/>
      <c r="B834" s="103"/>
      <c r="C834" s="103"/>
      <c r="D834" s="103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  <c r="AC834" s="104"/>
      <c r="AD834" s="104"/>
      <c r="AE834" s="104"/>
    </row>
    <row r="835">
      <c r="A835" s="103"/>
      <c r="B835" s="103"/>
      <c r="C835" s="103"/>
      <c r="D835" s="103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  <c r="AC835" s="104"/>
      <c r="AD835" s="104"/>
      <c r="AE835" s="104"/>
    </row>
    <row r="836">
      <c r="A836" s="103"/>
      <c r="B836" s="103"/>
      <c r="C836" s="103"/>
      <c r="D836" s="103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  <c r="AC836" s="104"/>
      <c r="AD836" s="104"/>
      <c r="AE836" s="104"/>
    </row>
    <row r="837">
      <c r="A837" s="103"/>
      <c r="B837" s="103"/>
      <c r="C837" s="103"/>
      <c r="D837" s="103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  <c r="AC837" s="104"/>
      <c r="AD837" s="104"/>
      <c r="AE837" s="104"/>
    </row>
    <row r="838">
      <c r="A838" s="103"/>
      <c r="B838" s="103"/>
      <c r="C838" s="103"/>
      <c r="D838" s="103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  <c r="AC838" s="104"/>
      <c r="AD838" s="104"/>
      <c r="AE838" s="104"/>
    </row>
    <row r="839">
      <c r="A839" s="103"/>
      <c r="B839" s="103"/>
      <c r="C839" s="103"/>
      <c r="D839" s="103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  <c r="AC839" s="104"/>
      <c r="AD839" s="104"/>
      <c r="AE839" s="104"/>
    </row>
    <row r="840">
      <c r="A840" s="103"/>
      <c r="B840" s="103"/>
      <c r="C840" s="103"/>
      <c r="D840" s="103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  <c r="AC840" s="104"/>
      <c r="AD840" s="104"/>
      <c r="AE840" s="104"/>
    </row>
    <row r="841">
      <c r="A841" s="103"/>
      <c r="B841" s="103"/>
      <c r="C841" s="103"/>
      <c r="D841" s="103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  <c r="AC841" s="104"/>
      <c r="AD841" s="104"/>
      <c r="AE841" s="104"/>
    </row>
    <row r="842">
      <c r="A842" s="103"/>
      <c r="B842" s="103"/>
      <c r="C842" s="103"/>
      <c r="D842" s="103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  <c r="AC842" s="104"/>
      <c r="AD842" s="104"/>
      <c r="AE842" s="104"/>
    </row>
    <row r="843">
      <c r="A843" s="103"/>
      <c r="B843" s="103"/>
      <c r="C843" s="103"/>
      <c r="D843" s="103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  <c r="AC843" s="104"/>
      <c r="AD843" s="104"/>
      <c r="AE843" s="104"/>
    </row>
    <row r="844">
      <c r="A844" s="103"/>
      <c r="B844" s="103"/>
      <c r="C844" s="103"/>
      <c r="D844" s="103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  <c r="AC844" s="104"/>
      <c r="AD844" s="104"/>
      <c r="AE844" s="104"/>
    </row>
    <row r="845">
      <c r="A845" s="103"/>
      <c r="B845" s="103"/>
      <c r="C845" s="103"/>
      <c r="D845" s="103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  <c r="AC845" s="104"/>
      <c r="AD845" s="104"/>
      <c r="AE845" s="104"/>
    </row>
    <row r="846">
      <c r="A846" s="103"/>
      <c r="B846" s="103"/>
      <c r="C846" s="103"/>
      <c r="D846" s="103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  <c r="AC846" s="104"/>
      <c r="AD846" s="104"/>
      <c r="AE846" s="104"/>
    </row>
    <row r="847">
      <c r="A847" s="103"/>
      <c r="B847" s="103"/>
      <c r="C847" s="103"/>
      <c r="D847" s="103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  <c r="AC847" s="104"/>
      <c r="AD847" s="104"/>
      <c r="AE847" s="104"/>
    </row>
    <row r="848">
      <c r="A848" s="103"/>
      <c r="B848" s="103"/>
      <c r="C848" s="103"/>
      <c r="D848" s="103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  <c r="AC848" s="104"/>
      <c r="AD848" s="104"/>
      <c r="AE848" s="104"/>
    </row>
    <row r="849">
      <c r="A849" s="103"/>
      <c r="B849" s="103"/>
      <c r="C849" s="103"/>
      <c r="D849" s="103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  <c r="AC849" s="104"/>
      <c r="AD849" s="104"/>
      <c r="AE849" s="104"/>
    </row>
    <row r="850">
      <c r="A850" s="103"/>
      <c r="B850" s="103"/>
      <c r="C850" s="103"/>
      <c r="D850" s="103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  <c r="AC850" s="104"/>
      <c r="AD850" s="104"/>
      <c r="AE850" s="104"/>
    </row>
    <row r="851">
      <c r="A851" s="103"/>
      <c r="B851" s="103"/>
      <c r="C851" s="103"/>
      <c r="D851" s="103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  <c r="AC851" s="104"/>
      <c r="AD851" s="104"/>
      <c r="AE851" s="104"/>
    </row>
    <row r="852">
      <c r="A852" s="103"/>
      <c r="B852" s="103"/>
      <c r="C852" s="103"/>
      <c r="D852" s="103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  <c r="AC852" s="104"/>
      <c r="AD852" s="104"/>
      <c r="AE852" s="104"/>
    </row>
    <row r="853">
      <c r="A853" s="103"/>
      <c r="B853" s="103"/>
      <c r="C853" s="103"/>
      <c r="D853" s="103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  <c r="AC853" s="104"/>
      <c r="AD853" s="104"/>
      <c r="AE853" s="104"/>
    </row>
    <row r="854">
      <c r="A854" s="103"/>
      <c r="B854" s="103"/>
      <c r="C854" s="103"/>
      <c r="D854" s="103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  <c r="AC854" s="104"/>
      <c r="AD854" s="104"/>
      <c r="AE854" s="104"/>
    </row>
    <row r="855">
      <c r="A855" s="103"/>
      <c r="B855" s="103"/>
      <c r="C855" s="103"/>
      <c r="D855" s="103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  <c r="AC855" s="104"/>
      <c r="AD855" s="104"/>
      <c r="AE855" s="104"/>
    </row>
    <row r="856">
      <c r="A856" s="103"/>
      <c r="B856" s="103"/>
      <c r="C856" s="103"/>
      <c r="D856" s="103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  <c r="AC856" s="104"/>
      <c r="AD856" s="104"/>
      <c r="AE856" s="104"/>
    </row>
    <row r="857">
      <c r="A857" s="103"/>
      <c r="B857" s="103"/>
      <c r="C857" s="103"/>
      <c r="D857" s="103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  <c r="AC857" s="104"/>
      <c r="AD857" s="104"/>
      <c r="AE857" s="104"/>
    </row>
    <row r="858">
      <c r="A858" s="103"/>
      <c r="B858" s="103"/>
      <c r="C858" s="103"/>
      <c r="D858" s="103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  <c r="AC858" s="104"/>
      <c r="AD858" s="104"/>
      <c r="AE858" s="104"/>
    </row>
    <row r="859">
      <c r="A859" s="103"/>
      <c r="B859" s="103"/>
      <c r="C859" s="103"/>
      <c r="D859" s="103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  <c r="AC859" s="104"/>
      <c r="AD859" s="104"/>
      <c r="AE859" s="104"/>
    </row>
    <row r="860">
      <c r="A860" s="103"/>
      <c r="B860" s="103"/>
      <c r="C860" s="103"/>
      <c r="D860" s="103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  <c r="AC860" s="104"/>
      <c r="AD860" s="104"/>
      <c r="AE860" s="104"/>
    </row>
    <row r="861">
      <c r="A861" s="103"/>
      <c r="B861" s="103"/>
      <c r="C861" s="103"/>
      <c r="D861" s="103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  <c r="AC861" s="104"/>
      <c r="AD861" s="104"/>
      <c r="AE861" s="104"/>
    </row>
    <row r="862">
      <c r="A862" s="103"/>
      <c r="B862" s="103"/>
      <c r="C862" s="103"/>
      <c r="D862" s="103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  <c r="AC862" s="104"/>
      <c r="AD862" s="104"/>
      <c r="AE862" s="104"/>
    </row>
    <row r="863">
      <c r="A863" s="103"/>
      <c r="B863" s="103"/>
      <c r="C863" s="103"/>
      <c r="D863" s="103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  <c r="AC863" s="104"/>
      <c r="AD863" s="104"/>
      <c r="AE863" s="104"/>
    </row>
    <row r="864">
      <c r="A864" s="103"/>
      <c r="B864" s="103"/>
      <c r="C864" s="103"/>
      <c r="D864" s="103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  <c r="AC864" s="104"/>
      <c r="AD864" s="104"/>
      <c r="AE864" s="104"/>
    </row>
    <row r="865">
      <c r="A865" s="103"/>
      <c r="B865" s="103"/>
      <c r="C865" s="103"/>
      <c r="D865" s="103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  <c r="AC865" s="104"/>
      <c r="AD865" s="104"/>
      <c r="AE865" s="104"/>
    </row>
    <row r="866">
      <c r="A866" s="103"/>
      <c r="B866" s="103"/>
      <c r="C866" s="103"/>
      <c r="D866" s="103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  <c r="AC866" s="104"/>
      <c r="AD866" s="104"/>
      <c r="AE866" s="104"/>
    </row>
    <row r="867">
      <c r="A867" s="103"/>
      <c r="B867" s="103"/>
      <c r="C867" s="103"/>
      <c r="D867" s="103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  <c r="AC867" s="104"/>
      <c r="AD867" s="104"/>
      <c r="AE867" s="104"/>
    </row>
    <row r="868">
      <c r="A868" s="103"/>
      <c r="B868" s="103"/>
      <c r="C868" s="103"/>
      <c r="D868" s="103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  <c r="AC868" s="104"/>
      <c r="AD868" s="104"/>
      <c r="AE868" s="104"/>
    </row>
    <row r="869">
      <c r="A869" s="103"/>
      <c r="B869" s="103"/>
      <c r="C869" s="103"/>
      <c r="D869" s="103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  <c r="AC869" s="104"/>
      <c r="AD869" s="104"/>
      <c r="AE869" s="104"/>
    </row>
    <row r="870">
      <c r="A870" s="103"/>
      <c r="B870" s="103"/>
      <c r="C870" s="103"/>
      <c r="D870" s="103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  <c r="AC870" s="104"/>
      <c r="AD870" s="104"/>
      <c r="AE870" s="104"/>
    </row>
    <row r="871">
      <c r="A871" s="103"/>
      <c r="B871" s="103"/>
      <c r="C871" s="103"/>
      <c r="D871" s="103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  <c r="AC871" s="104"/>
      <c r="AD871" s="104"/>
      <c r="AE871" s="104"/>
    </row>
    <row r="872">
      <c r="A872" s="103"/>
      <c r="B872" s="103"/>
      <c r="C872" s="103"/>
      <c r="D872" s="103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  <c r="AC872" s="104"/>
      <c r="AD872" s="104"/>
      <c r="AE872" s="104"/>
    </row>
    <row r="873">
      <c r="A873" s="103"/>
      <c r="B873" s="103"/>
      <c r="C873" s="103"/>
      <c r="D873" s="103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  <c r="AC873" s="104"/>
      <c r="AD873" s="104"/>
      <c r="AE873" s="104"/>
    </row>
    <row r="874">
      <c r="A874" s="103"/>
      <c r="B874" s="103"/>
      <c r="C874" s="103"/>
      <c r="D874" s="103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  <c r="AC874" s="104"/>
      <c r="AD874" s="104"/>
      <c r="AE874" s="104"/>
    </row>
    <row r="875">
      <c r="A875" s="103"/>
      <c r="B875" s="103"/>
      <c r="C875" s="103"/>
      <c r="D875" s="103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  <c r="AC875" s="104"/>
      <c r="AD875" s="104"/>
      <c r="AE875" s="104"/>
    </row>
    <row r="876">
      <c r="A876" s="103"/>
      <c r="B876" s="103"/>
      <c r="C876" s="103"/>
      <c r="D876" s="103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  <c r="AC876" s="104"/>
      <c r="AD876" s="104"/>
      <c r="AE876" s="104"/>
    </row>
    <row r="877">
      <c r="A877" s="103"/>
      <c r="B877" s="103"/>
      <c r="C877" s="103"/>
      <c r="D877" s="103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  <c r="AC877" s="104"/>
      <c r="AD877" s="104"/>
      <c r="AE877" s="104"/>
    </row>
    <row r="878">
      <c r="A878" s="103"/>
      <c r="B878" s="103"/>
      <c r="C878" s="103"/>
      <c r="D878" s="103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  <c r="AC878" s="104"/>
      <c r="AD878" s="104"/>
      <c r="AE878" s="104"/>
    </row>
    <row r="879">
      <c r="A879" s="103"/>
      <c r="B879" s="103"/>
      <c r="C879" s="103"/>
      <c r="D879" s="103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  <c r="AC879" s="104"/>
      <c r="AD879" s="104"/>
      <c r="AE879" s="104"/>
    </row>
    <row r="880">
      <c r="A880" s="103"/>
      <c r="B880" s="103"/>
      <c r="C880" s="103"/>
      <c r="D880" s="103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  <c r="AC880" s="104"/>
      <c r="AD880" s="104"/>
      <c r="AE880" s="104"/>
    </row>
    <row r="881">
      <c r="A881" s="103"/>
      <c r="B881" s="103"/>
      <c r="C881" s="103"/>
      <c r="D881" s="103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  <c r="AC881" s="104"/>
      <c r="AD881" s="104"/>
      <c r="AE881" s="104"/>
    </row>
    <row r="882">
      <c r="A882" s="103"/>
      <c r="B882" s="103"/>
      <c r="C882" s="103"/>
      <c r="D882" s="103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  <c r="AC882" s="104"/>
      <c r="AD882" s="104"/>
      <c r="AE882" s="104"/>
    </row>
    <row r="883">
      <c r="A883" s="103"/>
      <c r="B883" s="103"/>
      <c r="C883" s="103"/>
      <c r="D883" s="103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  <c r="AC883" s="104"/>
      <c r="AD883" s="104"/>
      <c r="AE883" s="104"/>
    </row>
    <row r="884">
      <c r="A884" s="103"/>
      <c r="B884" s="103"/>
      <c r="C884" s="103"/>
      <c r="D884" s="103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  <c r="AC884" s="104"/>
      <c r="AD884" s="104"/>
      <c r="AE884" s="104"/>
    </row>
    <row r="885">
      <c r="A885" s="103"/>
      <c r="B885" s="103"/>
      <c r="C885" s="103"/>
      <c r="D885" s="103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  <c r="AC885" s="104"/>
      <c r="AD885" s="104"/>
      <c r="AE885" s="104"/>
    </row>
    <row r="886">
      <c r="A886" s="103"/>
      <c r="B886" s="103"/>
      <c r="C886" s="103"/>
      <c r="D886" s="103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  <c r="AC886" s="104"/>
      <c r="AD886" s="104"/>
      <c r="AE886" s="104"/>
    </row>
    <row r="887">
      <c r="A887" s="103"/>
      <c r="B887" s="103"/>
      <c r="C887" s="103"/>
      <c r="D887" s="103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  <c r="AC887" s="104"/>
      <c r="AD887" s="104"/>
      <c r="AE887" s="104"/>
    </row>
    <row r="888">
      <c r="A888" s="103"/>
      <c r="B888" s="103"/>
      <c r="C888" s="103"/>
      <c r="D888" s="103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  <c r="AC888" s="104"/>
      <c r="AD888" s="104"/>
      <c r="AE888" s="104"/>
    </row>
    <row r="889">
      <c r="A889" s="103"/>
      <c r="B889" s="103"/>
      <c r="C889" s="103"/>
      <c r="D889" s="103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  <c r="AC889" s="104"/>
      <c r="AD889" s="104"/>
      <c r="AE889" s="104"/>
    </row>
    <row r="890">
      <c r="A890" s="103"/>
      <c r="B890" s="103"/>
      <c r="C890" s="103"/>
      <c r="D890" s="103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  <c r="AC890" s="104"/>
      <c r="AD890" s="104"/>
      <c r="AE890" s="104"/>
    </row>
    <row r="891">
      <c r="A891" s="103"/>
      <c r="B891" s="103"/>
      <c r="C891" s="103"/>
      <c r="D891" s="103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  <c r="AC891" s="104"/>
      <c r="AD891" s="104"/>
      <c r="AE891" s="104"/>
    </row>
    <row r="892">
      <c r="A892" s="103"/>
      <c r="B892" s="103"/>
      <c r="C892" s="103"/>
      <c r="D892" s="103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  <c r="AC892" s="104"/>
      <c r="AD892" s="104"/>
      <c r="AE892" s="104"/>
    </row>
    <row r="893">
      <c r="A893" s="103"/>
      <c r="B893" s="103"/>
      <c r="C893" s="103"/>
      <c r="D893" s="103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  <c r="AC893" s="104"/>
      <c r="AD893" s="104"/>
      <c r="AE893" s="104"/>
    </row>
    <row r="894">
      <c r="A894" s="103"/>
      <c r="B894" s="103"/>
      <c r="C894" s="103"/>
      <c r="D894" s="103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  <c r="AC894" s="104"/>
      <c r="AD894" s="104"/>
      <c r="AE894" s="104"/>
    </row>
    <row r="895">
      <c r="A895" s="103"/>
      <c r="B895" s="103"/>
      <c r="C895" s="103"/>
      <c r="D895" s="103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  <c r="AC895" s="104"/>
      <c r="AD895" s="104"/>
      <c r="AE895" s="104"/>
    </row>
    <row r="896">
      <c r="A896" s="103"/>
      <c r="B896" s="103"/>
      <c r="C896" s="103"/>
      <c r="D896" s="103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  <c r="AC896" s="104"/>
      <c r="AD896" s="104"/>
      <c r="AE896" s="104"/>
    </row>
    <row r="897">
      <c r="A897" s="103"/>
      <c r="B897" s="103"/>
      <c r="C897" s="103"/>
      <c r="D897" s="103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  <c r="AC897" s="104"/>
      <c r="AD897" s="104"/>
      <c r="AE897" s="104"/>
    </row>
    <row r="898">
      <c r="A898" s="103"/>
      <c r="B898" s="103"/>
      <c r="C898" s="103"/>
      <c r="D898" s="103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  <c r="AC898" s="104"/>
      <c r="AD898" s="104"/>
      <c r="AE898" s="104"/>
    </row>
    <row r="899">
      <c r="A899" s="103"/>
      <c r="B899" s="103"/>
      <c r="C899" s="103"/>
      <c r="D899" s="103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  <c r="AC899" s="104"/>
      <c r="AD899" s="104"/>
      <c r="AE899" s="104"/>
    </row>
    <row r="900">
      <c r="A900" s="103"/>
      <c r="B900" s="103"/>
      <c r="C900" s="103"/>
      <c r="D900" s="103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  <c r="AC900" s="104"/>
      <c r="AD900" s="104"/>
      <c r="AE900" s="104"/>
    </row>
    <row r="901">
      <c r="A901" s="103"/>
      <c r="B901" s="103"/>
      <c r="C901" s="103"/>
      <c r="D901" s="103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  <c r="AC901" s="104"/>
      <c r="AD901" s="104"/>
      <c r="AE901" s="104"/>
    </row>
    <row r="902">
      <c r="A902" s="103"/>
      <c r="B902" s="103"/>
      <c r="C902" s="103"/>
      <c r="D902" s="103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  <c r="AC902" s="104"/>
      <c r="AD902" s="104"/>
      <c r="AE902" s="104"/>
    </row>
    <row r="903">
      <c r="A903" s="103"/>
      <c r="B903" s="103"/>
      <c r="C903" s="103"/>
      <c r="D903" s="103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  <c r="AC903" s="104"/>
      <c r="AD903" s="104"/>
      <c r="AE903" s="104"/>
    </row>
    <row r="904">
      <c r="A904" s="103"/>
      <c r="B904" s="103"/>
      <c r="C904" s="103"/>
      <c r="D904" s="103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  <c r="AC904" s="104"/>
      <c r="AD904" s="104"/>
      <c r="AE904" s="104"/>
    </row>
    <row r="905">
      <c r="A905" s="103"/>
      <c r="B905" s="103"/>
      <c r="C905" s="103"/>
      <c r="D905" s="103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  <c r="AC905" s="104"/>
      <c r="AD905" s="104"/>
      <c r="AE905" s="104"/>
    </row>
    <row r="906">
      <c r="A906" s="103"/>
      <c r="B906" s="103"/>
      <c r="C906" s="103"/>
      <c r="D906" s="103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  <c r="AC906" s="104"/>
      <c r="AD906" s="104"/>
      <c r="AE906" s="104"/>
    </row>
    <row r="907">
      <c r="A907" s="103"/>
      <c r="B907" s="103"/>
      <c r="C907" s="103"/>
      <c r="D907" s="103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  <c r="AC907" s="104"/>
      <c r="AD907" s="104"/>
      <c r="AE907" s="104"/>
    </row>
    <row r="908">
      <c r="A908" s="103"/>
      <c r="B908" s="103"/>
      <c r="C908" s="103"/>
      <c r="D908" s="103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  <c r="AC908" s="104"/>
      <c r="AD908" s="104"/>
      <c r="AE908" s="104"/>
    </row>
    <row r="909">
      <c r="A909" s="103"/>
      <c r="B909" s="103"/>
      <c r="C909" s="103"/>
      <c r="D909" s="103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  <c r="AC909" s="104"/>
      <c r="AD909" s="104"/>
      <c r="AE909" s="104"/>
    </row>
    <row r="910">
      <c r="A910" s="103"/>
      <c r="B910" s="103"/>
      <c r="C910" s="103"/>
      <c r="D910" s="103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  <c r="AC910" s="104"/>
      <c r="AD910" s="104"/>
      <c r="AE910" s="104"/>
    </row>
    <row r="911">
      <c r="A911" s="103"/>
      <c r="B911" s="103"/>
      <c r="C911" s="103"/>
      <c r="D911" s="103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  <c r="AC911" s="104"/>
      <c r="AD911" s="104"/>
      <c r="AE911" s="104"/>
    </row>
    <row r="912">
      <c r="A912" s="103"/>
      <c r="B912" s="103"/>
      <c r="C912" s="103"/>
      <c r="D912" s="103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  <c r="AC912" s="104"/>
      <c r="AD912" s="104"/>
      <c r="AE912" s="104"/>
    </row>
    <row r="913">
      <c r="A913" s="103"/>
      <c r="B913" s="103"/>
      <c r="C913" s="103"/>
      <c r="D913" s="103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  <c r="AC913" s="104"/>
      <c r="AD913" s="104"/>
      <c r="AE913" s="104"/>
    </row>
    <row r="914">
      <c r="A914" s="103"/>
      <c r="B914" s="103"/>
      <c r="C914" s="103"/>
      <c r="D914" s="103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  <c r="AC914" s="104"/>
      <c r="AD914" s="104"/>
      <c r="AE914" s="104"/>
    </row>
    <row r="915">
      <c r="A915" s="103"/>
      <c r="B915" s="103"/>
      <c r="C915" s="103"/>
      <c r="D915" s="103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  <c r="AC915" s="104"/>
      <c r="AD915" s="104"/>
      <c r="AE915" s="104"/>
    </row>
    <row r="916">
      <c r="A916" s="103"/>
      <c r="B916" s="103"/>
      <c r="C916" s="103"/>
      <c r="D916" s="103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  <c r="AC916" s="104"/>
      <c r="AD916" s="104"/>
      <c r="AE916" s="104"/>
    </row>
    <row r="917">
      <c r="A917" s="103"/>
      <c r="B917" s="103"/>
      <c r="C917" s="103"/>
      <c r="D917" s="103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  <c r="AC917" s="104"/>
      <c r="AD917" s="104"/>
      <c r="AE917" s="104"/>
    </row>
    <row r="918">
      <c r="A918" s="103"/>
      <c r="B918" s="103"/>
      <c r="C918" s="103"/>
      <c r="D918" s="103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  <c r="AC918" s="104"/>
      <c r="AD918" s="104"/>
      <c r="AE918" s="104"/>
    </row>
    <row r="919">
      <c r="A919" s="103"/>
      <c r="B919" s="103"/>
      <c r="C919" s="103"/>
      <c r="D919" s="103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  <c r="AC919" s="104"/>
      <c r="AD919" s="104"/>
      <c r="AE919" s="104"/>
    </row>
    <row r="920">
      <c r="A920" s="103"/>
      <c r="B920" s="103"/>
      <c r="C920" s="103"/>
      <c r="D920" s="103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  <c r="AC920" s="104"/>
      <c r="AD920" s="104"/>
      <c r="AE920" s="104"/>
    </row>
    <row r="921">
      <c r="A921" s="103"/>
      <c r="B921" s="103"/>
      <c r="C921" s="103"/>
      <c r="D921" s="103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  <c r="AC921" s="104"/>
      <c r="AD921" s="104"/>
      <c r="AE921" s="104"/>
    </row>
    <row r="922">
      <c r="A922" s="103"/>
      <c r="B922" s="103"/>
      <c r="C922" s="103"/>
      <c r="D922" s="103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  <c r="AC922" s="104"/>
      <c r="AD922" s="104"/>
      <c r="AE922" s="104"/>
    </row>
    <row r="923">
      <c r="A923" s="103"/>
      <c r="B923" s="103"/>
      <c r="C923" s="103"/>
      <c r="D923" s="103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  <c r="AC923" s="104"/>
      <c r="AD923" s="104"/>
      <c r="AE923" s="104"/>
    </row>
    <row r="924">
      <c r="A924" s="103"/>
      <c r="B924" s="103"/>
      <c r="C924" s="103"/>
      <c r="D924" s="103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  <c r="AC924" s="104"/>
      <c r="AD924" s="104"/>
      <c r="AE924" s="104"/>
    </row>
    <row r="925">
      <c r="A925" s="103"/>
      <c r="B925" s="103"/>
      <c r="C925" s="103"/>
      <c r="D925" s="103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  <c r="AC925" s="104"/>
      <c r="AD925" s="104"/>
      <c r="AE925" s="104"/>
    </row>
    <row r="926">
      <c r="A926" s="103"/>
      <c r="B926" s="103"/>
      <c r="C926" s="103"/>
      <c r="D926" s="103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  <c r="AC926" s="104"/>
      <c r="AD926" s="104"/>
      <c r="AE926" s="104"/>
    </row>
    <row r="927">
      <c r="A927" s="103"/>
      <c r="B927" s="103"/>
      <c r="C927" s="103"/>
      <c r="D927" s="103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  <c r="AC927" s="104"/>
      <c r="AD927" s="104"/>
      <c r="AE927" s="104"/>
    </row>
    <row r="928">
      <c r="A928" s="103"/>
      <c r="B928" s="103"/>
      <c r="C928" s="103"/>
      <c r="D928" s="103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  <c r="AC928" s="104"/>
      <c r="AD928" s="104"/>
      <c r="AE928" s="104"/>
    </row>
    <row r="929">
      <c r="A929" s="103"/>
      <c r="B929" s="103"/>
      <c r="C929" s="103"/>
      <c r="D929" s="103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  <c r="AC929" s="104"/>
      <c r="AD929" s="104"/>
      <c r="AE929" s="104"/>
    </row>
    <row r="930">
      <c r="A930" s="103"/>
      <c r="B930" s="103"/>
      <c r="C930" s="103"/>
      <c r="D930" s="103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  <c r="AC930" s="104"/>
      <c r="AD930" s="104"/>
      <c r="AE930" s="104"/>
    </row>
    <row r="931">
      <c r="A931" s="103"/>
      <c r="B931" s="103"/>
      <c r="C931" s="103"/>
      <c r="D931" s="103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  <c r="AC931" s="104"/>
      <c r="AD931" s="104"/>
      <c r="AE931" s="104"/>
    </row>
    <row r="932">
      <c r="A932" s="103"/>
      <c r="B932" s="103"/>
      <c r="C932" s="103"/>
      <c r="D932" s="103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  <c r="AC932" s="104"/>
      <c r="AD932" s="104"/>
      <c r="AE932" s="104"/>
    </row>
    <row r="933">
      <c r="A933" s="103"/>
      <c r="B933" s="103"/>
      <c r="C933" s="103"/>
      <c r="D933" s="103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  <c r="AC933" s="104"/>
      <c r="AD933" s="104"/>
      <c r="AE933" s="104"/>
    </row>
    <row r="934">
      <c r="A934" s="103"/>
      <c r="B934" s="103"/>
      <c r="C934" s="103"/>
      <c r="D934" s="103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  <c r="AC934" s="104"/>
      <c r="AD934" s="104"/>
      <c r="AE934" s="104"/>
    </row>
    <row r="935">
      <c r="A935" s="103"/>
      <c r="B935" s="103"/>
      <c r="C935" s="103"/>
      <c r="D935" s="103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  <c r="AC935" s="104"/>
      <c r="AD935" s="104"/>
      <c r="AE935" s="104"/>
    </row>
    <row r="936">
      <c r="A936" s="103"/>
      <c r="B936" s="103"/>
      <c r="C936" s="103"/>
      <c r="D936" s="103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  <c r="AC936" s="104"/>
      <c r="AD936" s="104"/>
      <c r="AE936" s="104"/>
    </row>
    <row r="937">
      <c r="A937" s="103"/>
      <c r="B937" s="103"/>
      <c r="C937" s="103"/>
      <c r="D937" s="103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  <c r="AC937" s="104"/>
      <c r="AD937" s="104"/>
      <c r="AE937" s="104"/>
    </row>
    <row r="938">
      <c r="A938" s="103"/>
      <c r="B938" s="103"/>
      <c r="C938" s="103"/>
      <c r="D938" s="103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  <c r="AC938" s="104"/>
      <c r="AD938" s="104"/>
      <c r="AE938" s="104"/>
    </row>
    <row r="939">
      <c r="A939" s="103"/>
      <c r="B939" s="103"/>
      <c r="C939" s="103"/>
      <c r="D939" s="103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  <c r="AC939" s="104"/>
      <c r="AD939" s="104"/>
      <c r="AE939" s="104"/>
    </row>
    <row r="940">
      <c r="A940" s="103"/>
      <c r="B940" s="103"/>
      <c r="C940" s="103"/>
      <c r="D940" s="103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  <c r="AC940" s="104"/>
      <c r="AD940" s="104"/>
      <c r="AE940" s="104"/>
    </row>
    <row r="941">
      <c r="A941" s="103"/>
      <c r="B941" s="103"/>
      <c r="C941" s="103"/>
      <c r="D941" s="103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  <c r="AC941" s="104"/>
      <c r="AD941" s="104"/>
      <c r="AE941" s="104"/>
    </row>
    <row r="942">
      <c r="A942" s="103"/>
      <c r="B942" s="103"/>
      <c r="C942" s="103"/>
      <c r="D942" s="103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  <c r="AC942" s="104"/>
      <c r="AD942" s="104"/>
      <c r="AE942" s="104"/>
    </row>
    <row r="943">
      <c r="A943" s="103"/>
      <c r="B943" s="103"/>
      <c r="C943" s="103"/>
      <c r="D943" s="103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  <c r="AC943" s="104"/>
      <c r="AD943" s="104"/>
      <c r="AE943" s="104"/>
    </row>
    <row r="944">
      <c r="A944" s="103"/>
      <c r="B944" s="103"/>
      <c r="C944" s="103"/>
      <c r="D944" s="103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  <c r="AC944" s="104"/>
      <c r="AD944" s="104"/>
      <c r="AE944" s="104"/>
    </row>
    <row r="945">
      <c r="A945" s="103"/>
      <c r="B945" s="103"/>
      <c r="C945" s="103"/>
      <c r="D945" s="103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  <c r="AC945" s="104"/>
      <c r="AD945" s="104"/>
      <c r="AE945" s="104"/>
    </row>
    <row r="946">
      <c r="A946" s="103"/>
      <c r="B946" s="103"/>
      <c r="C946" s="103"/>
      <c r="D946" s="103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  <c r="AC946" s="104"/>
      <c r="AD946" s="104"/>
      <c r="AE946" s="104"/>
    </row>
    <row r="947">
      <c r="A947" s="103"/>
      <c r="B947" s="103"/>
      <c r="C947" s="103"/>
      <c r="D947" s="103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  <c r="AC947" s="104"/>
      <c r="AD947" s="104"/>
      <c r="AE947" s="104"/>
    </row>
    <row r="948">
      <c r="A948" s="103"/>
      <c r="B948" s="103"/>
      <c r="C948" s="103"/>
      <c r="D948" s="103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  <c r="AC948" s="104"/>
      <c r="AD948" s="104"/>
      <c r="AE948" s="104"/>
    </row>
    <row r="949">
      <c r="A949" s="103"/>
      <c r="B949" s="103"/>
      <c r="C949" s="103"/>
      <c r="D949" s="103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  <c r="AC949" s="104"/>
      <c r="AD949" s="104"/>
      <c r="AE949" s="104"/>
    </row>
    <row r="950">
      <c r="A950" s="103"/>
      <c r="B950" s="103"/>
      <c r="C950" s="103"/>
      <c r="D950" s="103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  <c r="AC950" s="104"/>
      <c r="AD950" s="104"/>
      <c r="AE950" s="104"/>
    </row>
    <row r="951">
      <c r="A951" s="103"/>
      <c r="B951" s="103"/>
      <c r="C951" s="103"/>
      <c r="D951" s="103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  <c r="AC951" s="104"/>
      <c r="AD951" s="104"/>
      <c r="AE951" s="104"/>
    </row>
    <row r="952">
      <c r="A952" s="103"/>
      <c r="B952" s="103"/>
      <c r="C952" s="103"/>
      <c r="D952" s="103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  <c r="AC952" s="104"/>
      <c r="AD952" s="104"/>
      <c r="AE952" s="104"/>
    </row>
    <row r="953">
      <c r="A953" s="103"/>
      <c r="B953" s="103"/>
      <c r="C953" s="103"/>
      <c r="D953" s="103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  <c r="AC953" s="104"/>
      <c r="AD953" s="104"/>
      <c r="AE953" s="104"/>
    </row>
    <row r="954">
      <c r="A954" s="103"/>
      <c r="B954" s="103"/>
      <c r="C954" s="103"/>
      <c r="D954" s="103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  <c r="AC954" s="104"/>
      <c r="AD954" s="104"/>
      <c r="AE954" s="104"/>
    </row>
    <row r="955">
      <c r="A955" s="103"/>
      <c r="B955" s="103"/>
      <c r="C955" s="103"/>
      <c r="D955" s="103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  <c r="AC955" s="104"/>
      <c r="AD955" s="104"/>
      <c r="AE955" s="104"/>
    </row>
    <row r="956">
      <c r="A956" s="103"/>
      <c r="B956" s="103"/>
      <c r="C956" s="103"/>
      <c r="D956" s="103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  <c r="AC956" s="104"/>
      <c r="AD956" s="104"/>
      <c r="AE956" s="104"/>
    </row>
    <row r="957">
      <c r="A957" s="103"/>
      <c r="B957" s="103"/>
      <c r="C957" s="103"/>
      <c r="D957" s="103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  <c r="AC957" s="104"/>
      <c r="AD957" s="104"/>
      <c r="AE957" s="104"/>
    </row>
    <row r="958">
      <c r="A958" s="103"/>
      <c r="B958" s="103"/>
      <c r="C958" s="103"/>
      <c r="D958" s="103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  <c r="AC958" s="104"/>
      <c r="AD958" s="104"/>
      <c r="AE958" s="104"/>
    </row>
    <row r="959">
      <c r="A959" s="103"/>
      <c r="B959" s="103"/>
      <c r="C959" s="103"/>
      <c r="D959" s="103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  <c r="AC959" s="104"/>
      <c r="AD959" s="104"/>
      <c r="AE959" s="104"/>
    </row>
    <row r="960">
      <c r="A960" s="103"/>
      <c r="B960" s="103"/>
      <c r="C960" s="103"/>
      <c r="D960" s="103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  <c r="AC960" s="104"/>
      <c r="AD960" s="104"/>
      <c r="AE960" s="104"/>
    </row>
    <row r="961">
      <c r="A961" s="103"/>
      <c r="B961" s="103"/>
      <c r="C961" s="103"/>
      <c r="D961" s="103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  <c r="AB961" s="104"/>
      <c r="AC961" s="104"/>
      <c r="AD961" s="104"/>
      <c r="AE961" s="104"/>
    </row>
    <row r="962">
      <c r="A962" s="103"/>
      <c r="B962" s="103"/>
      <c r="C962" s="103"/>
      <c r="D962" s="103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  <c r="AB962" s="104"/>
      <c r="AC962" s="104"/>
      <c r="AD962" s="104"/>
      <c r="AE962" s="104"/>
    </row>
    <row r="963">
      <c r="A963" s="103"/>
      <c r="B963" s="103"/>
      <c r="C963" s="103"/>
      <c r="D963" s="103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  <c r="AB963" s="104"/>
      <c r="AC963" s="104"/>
      <c r="AD963" s="104"/>
      <c r="AE963" s="104"/>
    </row>
    <row r="964">
      <c r="A964" s="103"/>
      <c r="B964" s="103"/>
      <c r="C964" s="103"/>
      <c r="D964" s="103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  <c r="AB964" s="104"/>
      <c r="AC964" s="104"/>
      <c r="AD964" s="104"/>
      <c r="AE964" s="104"/>
    </row>
    <row r="965">
      <c r="A965" s="103"/>
      <c r="B965" s="103"/>
      <c r="C965" s="103"/>
      <c r="D965" s="103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  <c r="AB965" s="104"/>
      <c r="AC965" s="104"/>
      <c r="AD965" s="104"/>
      <c r="AE965" s="104"/>
    </row>
    <row r="966">
      <c r="A966" s="103"/>
      <c r="B966" s="103"/>
      <c r="C966" s="103"/>
      <c r="D966" s="103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  <c r="AB966" s="104"/>
      <c r="AC966" s="104"/>
      <c r="AD966" s="104"/>
      <c r="AE966" s="104"/>
    </row>
    <row r="967">
      <c r="A967" s="103"/>
      <c r="B967" s="103"/>
      <c r="C967" s="103"/>
      <c r="D967" s="103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  <c r="AB967" s="104"/>
      <c r="AC967" s="104"/>
      <c r="AD967" s="104"/>
      <c r="AE967" s="104"/>
    </row>
    <row r="968">
      <c r="A968" s="103"/>
      <c r="B968" s="103"/>
      <c r="C968" s="103"/>
      <c r="D968" s="103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  <c r="AB968" s="104"/>
      <c r="AC968" s="104"/>
      <c r="AD968" s="104"/>
      <c r="AE968" s="104"/>
    </row>
    <row r="969">
      <c r="A969" s="103"/>
      <c r="B969" s="103"/>
      <c r="C969" s="103"/>
      <c r="D969" s="103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  <c r="AB969" s="104"/>
      <c r="AC969" s="104"/>
      <c r="AD969" s="104"/>
      <c r="AE969" s="104"/>
    </row>
    <row r="970">
      <c r="A970" s="103"/>
      <c r="B970" s="103"/>
      <c r="C970" s="103"/>
      <c r="D970" s="103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  <c r="AB970" s="104"/>
      <c r="AC970" s="104"/>
      <c r="AD970" s="104"/>
      <c r="AE970" s="104"/>
    </row>
    <row r="971">
      <c r="A971" s="103"/>
      <c r="B971" s="103"/>
      <c r="C971" s="103"/>
      <c r="D971" s="103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  <c r="AB971" s="104"/>
      <c r="AC971" s="104"/>
      <c r="AD971" s="104"/>
      <c r="AE971" s="104"/>
    </row>
    <row r="972">
      <c r="A972" s="103"/>
      <c r="B972" s="103"/>
      <c r="C972" s="103"/>
      <c r="D972" s="103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  <c r="AB972" s="104"/>
      <c r="AC972" s="104"/>
      <c r="AD972" s="104"/>
      <c r="AE972" s="104"/>
    </row>
    <row r="973">
      <c r="A973" s="103"/>
      <c r="B973" s="103"/>
      <c r="C973" s="103"/>
      <c r="D973" s="103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  <c r="AB973" s="104"/>
      <c r="AC973" s="104"/>
      <c r="AD973" s="104"/>
      <c r="AE973" s="104"/>
    </row>
    <row r="974">
      <c r="A974" s="103"/>
      <c r="B974" s="103"/>
      <c r="C974" s="103"/>
      <c r="D974" s="103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  <c r="AB974" s="104"/>
      <c r="AC974" s="104"/>
      <c r="AD974" s="104"/>
      <c r="AE974" s="104"/>
    </row>
    <row r="975">
      <c r="A975" s="103"/>
      <c r="B975" s="103"/>
      <c r="C975" s="103"/>
      <c r="D975" s="103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  <c r="AB975" s="104"/>
      <c r="AC975" s="104"/>
      <c r="AD975" s="104"/>
      <c r="AE975" s="104"/>
    </row>
    <row r="976">
      <c r="A976" s="103"/>
      <c r="B976" s="103"/>
      <c r="C976" s="103"/>
      <c r="D976" s="103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  <c r="AB976" s="104"/>
      <c r="AC976" s="104"/>
      <c r="AD976" s="104"/>
      <c r="AE976" s="104"/>
    </row>
    <row r="977">
      <c r="A977" s="103"/>
      <c r="B977" s="103"/>
      <c r="C977" s="103"/>
      <c r="D977" s="103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  <c r="AB977" s="104"/>
      <c r="AC977" s="104"/>
      <c r="AD977" s="104"/>
      <c r="AE977" s="104"/>
    </row>
    <row r="978">
      <c r="A978" s="103"/>
      <c r="B978" s="103"/>
      <c r="C978" s="103"/>
      <c r="D978" s="103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  <c r="AB978" s="104"/>
      <c r="AC978" s="104"/>
      <c r="AD978" s="104"/>
      <c r="AE978" s="104"/>
    </row>
    <row r="979">
      <c r="A979" s="103"/>
      <c r="B979" s="103"/>
      <c r="C979" s="103"/>
      <c r="D979" s="103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  <c r="AB979" s="104"/>
      <c r="AC979" s="104"/>
      <c r="AD979" s="104"/>
      <c r="AE979" s="104"/>
    </row>
    <row r="980">
      <c r="A980" s="103"/>
      <c r="B980" s="103"/>
      <c r="C980" s="103"/>
      <c r="D980" s="103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  <c r="AB980" s="104"/>
      <c r="AC980" s="104"/>
      <c r="AD980" s="104"/>
      <c r="AE980" s="104"/>
    </row>
    <row r="981">
      <c r="A981" s="103"/>
      <c r="B981" s="103"/>
      <c r="C981" s="103"/>
      <c r="D981" s="103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  <c r="AB981" s="104"/>
      <c r="AC981" s="104"/>
      <c r="AD981" s="104"/>
      <c r="AE981" s="104"/>
    </row>
    <row r="982">
      <c r="A982" s="103"/>
      <c r="B982" s="103"/>
      <c r="C982" s="103"/>
      <c r="D982" s="103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  <c r="AB982" s="104"/>
      <c r="AC982" s="104"/>
      <c r="AD982" s="104"/>
      <c r="AE982" s="104"/>
    </row>
    <row r="983">
      <c r="A983" s="103"/>
      <c r="B983" s="103"/>
      <c r="C983" s="103"/>
      <c r="D983" s="103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  <c r="AB983" s="104"/>
      <c r="AC983" s="104"/>
      <c r="AD983" s="104"/>
      <c r="AE983" s="104"/>
    </row>
    <row r="984">
      <c r="A984" s="103"/>
      <c r="B984" s="103"/>
      <c r="C984" s="103"/>
      <c r="D984" s="103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  <c r="AB984" s="104"/>
      <c r="AC984" s="104"/>
      <c r="AD984" s="104"/>
      <c r="AE984" s="104"/>
    </row>
    <row r="985">
      <c r="A985" s="103"/>
      <c r="B985" s="103"/>
      <c r="C985" s="103"/>
      <c r="D985" s="103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  <c r="AB985" s="104"/>
      <c r="AC985" s="104"/>
      <c r="AD985" s="104"/>
      <c r="AE985" s="104"/>
    </row>
    <row r="986">
      <c r="A986" s="103"/>
      <c r="B986" s="103"/>
      <c r="C986" s="103"/>
      <c r="D986" s="103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  <c r="AB986" s="104"/>
      <c r="AC986" s="104"/>
      <c r="AD986" s="104"/>
      <c r="AE986" s="104"/>
    </row>
    <row r="987">
      <c r="A987" s="103"/>
      <c r="B987" s="103"/>
      <c r="C987" s="103"/>
      <c r="D987" s="103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  <c r="AB987" s="104"/>
      <c r="AC987" s="104"/>
      <c r="AD987" s="104"/>
      <c r="AE987" s="104"/>
    </row>
    <row r="988">
      <c r="A988" s="103"/>
      <c r="B988" s="103"/>
      <c r="C988" s="103"/>
      <c r="D988" s="103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  <c r="AB988" s="104"/>
      <c r="AC988" s="104"/>
      <c r="AD988" s="104"/>
      <c r="AE988" s="104"/>
    </row>
    <row r="989">
      <c r="A989" s="103"/>
      <c r="B989" s="103"/>
      <c r="C989" s="103"/>
      <c r="D989" s="103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  <c r="AB989" s="104"/>
      <c r="AC989" s="104"/>
      <c r="AD989" s="104"/>
      <c r="AE989" s="104"/>
    </row>
    <row r="990">
      <c r="A990" s="103"/>
      <c r="B990" s="103"/>
      <c r="C990" s="103"/>
      <c r="D990" s="103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  <c r="AB990" s="104"/>
      <c r="AC990" s="104"/>
      <c r="AD990" s="104"/>
      <c r="AE990" s="104"/>
    </row>
    <row r="991">
      <c r="A991" s="103"/>
      <c r="B991" s="103"/>
      <c r="C991" s="103"/>
      <c r="D991" s="103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  <c r="AB991" s="104"/>
      <c r="AC991" s="104"/>
      <c r="AD991" s="104"/>
      <c r="AE991" s="104"/>
    </row>
    <row r="992">
      <c r="A992" s="103"/>
      <c r="B992" s="103"/>
      <c r="C992" s="103"/>
      <c r="D992" s="103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  <c r="AB992" s="104"/>
      <c r="AC992" s="104"/>
      <c r="AD992" s="104"/>
      <c r="AE992" s="104"/>
    </row>
    <row r="993">
      <c r="A993" s="103"/>
      <c r="B993" s="103"/>
      <c r="C993" s="103"/>
      <c r="D993" s="103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  <c r="AB993" s="104"/>
      <c r="AC993" s="104"/>
      <c r="AD993" s="104"/>
      <c r="AE993" s="104"/>
    </row>
    <row r="994">
      <c r="A994" s="103"/>
      <c r="B994" s="103"/>
      <c r="C994" s="103"/>
      <c r="D994" s="103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  <c r="AB994" s="104"/>
      <c r="AC994" s="104"/>
      <c r="AD994" s="104"/>
      <c r="AE994" s="104"/>
    </row>
    <row r="995">
      <c r="A995" s="103"/>
      <c r="B995" s="103"/>
      <c r="C995" s="103"/>
      <c r="D995" s="103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  <c r="AB995" s="104"/>
      <c r="AC995" s="104"/>
      <c r="AD995" s="104"/>
      <c r="AE995" s="104"/>
    </row>
    <row r="996">
      <c r="A996" s="103"/>
      <c r="B996" s="103"/>
      <c r="C996" s="103"/>
      <c r="D996" s="103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  <c r="AB996" s="104"/>
      <c r="AC996" s="104"/>
      <c r="AD996" s="104"/>
      <c r="AE996" s="104"/>
    </row>
    <row r="997">
      <c r="A997" s="103"/>
      <c r="B997" s="103"/>
      <c r="C997" s="103"/>
      <c r="D997" s="103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  <c r="AB997" s="104"/>
      <c r="AC997" s="104"/>
      <c r="AD997" s="104"/>
      <c r="AE997" s="104"/>
    </row>
    <row r="998">
      <c r="A998" s="103"/>
      <c r="B998" s="103"/>
      <c r="C998" s="103"/>
      <c r="D998" s="103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  <c r="AB998" s="104"/>
      <c r="AC998" s="104"/>
      <c r="AD998" s="104"/>
      <c r="AE998" s="104"/>
    </row>
    <row r="999">
      <c r="A999" s="103"/>
      <c r="B999" s="103"/>
      <c r="C999" s="103"/>
      <c r="D999" s="103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  <c r="AB999" s="104"/>
      <c r="AC999" s="104"/>
      <c r="AD999" s="104"/>
      <c r="AE999" s="104"/>
    </row>
    <row r="1000">
      <c r="A1000" s="103"/>
      <c r="B1000" s="103"/>
      <c r="C1000" s="103"/>
      <c r="D1000" s="103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  <c r="AA1000" s="104"/>
      <c r="AB1000" s="104"/>
      <c r="AC1000" s="104"/>
      <c r="AD1000" s="104"/>
      <c r="AE1000" s="104"/>
    </row>
    <row r="1001">
      <c r="A1001" s="103"/>
      <c r="B1001" s="103"/>
      <c r="C1001" s="103"/>
      <c r="D1001" s="103"/>
      <c r="E1001" s="104"/>
      <c r="F1001" s="104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4"/>
      <c r="V1001" s="104"/>
      <c r="W1001" s="104"/>
      <c r="X1001" s="104"/>
      <c r="Y1001" s="104"/>
      <c r="Z1001" s="104"/>
      <c r="AA1001" s="104"/>
      <c r="AB1001" s="104"/>
      <c r="AC1001" s="104"/>
      <c r="AD1001" s="104"/>
      <c r="AE1001" s="104"/>
    </row>
    <row r="1002">
      <c r="A1002" s="103"/>
      <c r="B1002" s="103"/>
      <c r="C1002" s="103"/>
      <c r="D1002" s="103"/>
      <c r="E1002" s="104"/>
      <c r="F1002" s="104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4"/>
      <c r="V1002" s="104"/>
      <c r="W1002" s="104"/>
      <c r="X1002" s="104"/>
      <c r="Y1002" s="104"/>
      <c r="Z1002" s="104"/>
      <c r="AA1002" s="104"/>
      <c r="AB1002" s="104"/>
      <c r="AC1002" s="104"/>
      <c r="AD1002" s="104"/>
      <c r="AE1002" s="104"/>
    </row>
    <row r="1003">
      <c r="A1003" s="103"/>
      <c r="B1003" s="103"/>
      <c r="C1003" s="103"/>
      <c r="D1003" s="103"/>
      <c r="E1003" s="104"/>
      <c r="F1003" s="104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4"/>
      <c r="V1003" s="104"/>
      <c r="W1003" s="104"/>
      <c r="X1003" s="104"/>
      <c r="Y1003" s="104"/>
      <c r="Z1003" s="104"/>
      <c r="AA1003" s="104"/>
      <c r="AB1003" s="104"/>
      <c r="AC1003" s="104"/>
      <c r="AD1003" s="104"/>
      <c r="AE1003" s="104"/>
    </row>
    <row r="1004">
      <c r="A1004" s="103"/>
      <c r="B1004" s="103"/>
      <c r="C1004" s="103"/>
      <c r="D1004" s="103"/>
      <c r="E1004" s="104"/>
      <c r="F1004" s="104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4"/>
      <c r="V1004" s="104"/>
      <c r="W1004" s="104"/>
      <c r="X1004" s="104"/>
      <c r="Y1004" s="104"/>
      <c r="Z1004" s="104"/>
      <c r="AA1004" s="104"/>
      <c r="AB1004" s="104"/>
      <c r="AC1004" s="104"/>
      <c r="AD1004" s="104"/>
      <c r="AE1004" s="104"/>
    </row>
    <row r="1005">
      <c r="A1005" s="103"/>
      <c r="B1005" s="103"/>
      <c r="C1005" s="103"/>
      <c r="D1005" s="103"/>
      <c r="E1005" s="104"/>
      <c r="F1005" s="104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  <c r="T1005" s="104"/>
      <c r="U1005" s="104"/>
      <c r="V1005" s="104"/>
      <c r="W1005" s="104"/>
      <c r="X1005" s="104"/>
      <c r="Y1005" s="104"/>
      <c r="Z1005" s="104"/>
      <c r="AA1005" s="104"/>
      <c r="AB1005" s="104"/>
      <c r="AC1005" s="104"/>
      <c r="AD1005" s="104"/>
      <c r="AE1005" s="104"/>
    </row>
    <row r="1006">
      <c r="A1006" s="103"/>
      <c r="B1006" s="103"/>
      <c r="C1006" s="103"/>
      <c r="D1006" s="103"/>
      <c r="E1006" s="104"/>
      <c r="F1006" s="104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  <c r="T1006" s="104"/>
      <c r="U1006" s="104"/>
      <c r="V1006" s="104"/>
      <c r="W1006" s="104"/>
      <c r="X1006" s="104"/>
      <c r="Y1006" s="104"/>
      <c r="Z1006" s="104"/>
      <c r="AA1006" s="104"/>
      <c r="AB1006" s="104"/>
      <c r="AC1006" s="104"/>
      <c r="AD1006" s="104"/>
      <c r="AE1006" s="104"/>
    </row>
    <row r="1007">
      <c r="A1007" s="103"/>
      <c r="B1007" s="103"/>
      <c r="C1007" s="103"/>
      <c r="D1007" s="103"/>
      <c r="E1007" s="104"/>
      <c r="F1007" s="104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  <c r="T1007" s="104"/>
      <c r="U1007" s="104"/>
      <c r="V1007" s="104"/>
      <c r="W1007" s="104"/>
      <c r="X1007" s="104"/>
      <c r="Y1007" s="104"/>
      <c r="Z1007" s="104"/>
      <c r="AA1007" s="104"/>
      <c r="AB1007" s="104"/>
      <c r="AC1007" s="104"/>
      <c r="AD1007" s="104"/>
      <c r="AE1007" s="104"/>
    </row>
    <row r="1008">
      <c r="A1008" s="103"/>
      <c r="B1008" s="103"/>
      <c r="C1008" s="103"/>
      <c r="D1008" s="103"/>
      <c r="E1008" s="104"/>
      <c r="F1008" s="104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  <c r="T1008" s="104"/>
      <c r="U1008" s="104"/>
      <c r="V1008" s="104"/>
      <c r="W1008" s="104"/>
      <c r="X1008" s="104"/>
      <c r="Y1008" s="104"/>
      <c r="Z1008" s="104"/>
      <c r="AA1008" s="104"/>
      <c r="AB1008" s="104"/>
      <c r="AC1008" s="104"/>
      <c r="AD1008" s="104"/>
      <c r="AE1008" s="104"/>
    </row>
    <row r="1009">
      <c r="A1009" s="103"/>
      <c r="B1009" s="103"/>
      <c r="C1009" s="103"/>
      <c r="D1009" s="103"/>
      <c r="E1009" s="104"/>
      <c r="F1009" s="104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  <c r="T1009" s="104"/>
      <c r="U1009" s="104"/>
      <c r="V1009" s="104"/>
      <c r="W1009" s="104"/>
      <c r="X1009" s="104"/>
      <c r="Y1009" s="104"/>
      <c r="Z1009" s="104"/>
      <c r="AA1009" s="104"/>
      <c r="AB1009" s="104"/>
      <c r="AC1009" s="104"/>
      <c r="AD1009" s="104"/>
      <c r="AE1009" s="104"/>
    </row>
    <row r="1010">
      <c r="A1010" s="103"/>
      <c r="B1010" s="103"/>
      <c r="C1010" s="103"/>
      <c r="D1010" s="103"/>
      <c r="E1010" s="104"/>
      <c r="F1010" s="104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  <c r="T1010" s="104"/>
      <c r="U1010" s="104"/>
      <c r="V1010" s="104"/>
      <c r="W1010" s="104"/>
      <c r="X1010" s="104"/>
      <c r="Y1010" s="104"/>
      <c r="Z1010" s="104"/>
      <c r="AA1010" s="104"/>
      <c r="AB1010" s="104"/>
      <c r="AC1010" s="104"/>
      <c r="AD1010" s="104"/>
      <c r="AE1010" s="104"/>
    </row>
    <row r="1011">
      <c r="A1011" s="103"/>
      <c r="B1011" s="103"/>
      <c r="C1011" s="103"/>
      <c r="D1011" s="103"/>
      <c r="E1011" s="104"/>
      <c r="F1011" s="104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  <c r="T1011" s="104"/>
      <c r="U1011" s="104"/>
      <c r="V1011" s="104"/>
      <c r="W1011" s="104"/>
      <c r="X1011" s="104"/>
      <c r="Y1011" s="104"/>
      <c r="Z1011" s="104"/>
      <c r="AA1011" s="104"/>
      <c r="AB1011" s="104"/>
      <c r="AC1011" s="104"/>
      <c r="AD1011" s="104"/>
      <c r="AE1011" s="104"/>
    </row>
    <row r="1012">
      <c r="A1012" s="103"/>
      <c r="B1012" s="103"/>
      <c r="C1012" s="103"/>
      <c r="D1012" s="103"/>
      <c r="E1012" s="104"/>
      <c r="F1012" s="104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  <c r="T1012" s="104"/>
      <c r="U1012" s="104"/>
      <c r="V1012" s="104"/>
      <c r="W1012" s="104"/>
      <c r="X1012" s="104"/>
      <c r="Y1012" s="104"/>
      <c r="Z1012" s="104"/>
      <c r="AA1012" s="104"/>
      <c r="AB1012" s="104"/>
      <c r="AC1012" s="104"/>
      <c r="AD1012" s="104"/>
      <c r="AE1012" s="104"/>
    </row>
    <row r="1013">
      <c r="A1013" s="103"/>
      <c r="B1013" s="103"/>
      <c r="C1013" s="103"/>
      <c r="D1013" s="103"/>
      <c r="E1013" s="104"/>
      <c r="F1013" s="104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  <c r="T1013" s="104"/>
      <c r="U1013" s="104"/>
      <c r="V1013" s="104"/>
      <c r="W1013" s="104"/>
      <c r="X1013" s="104"/>
      <c r="Y1013" s="104"/>
      <c r="Z1013" s="104"/>
      <c r="AA1013" s="104"/>
      <c r="AB1013" s="104"/>
      <c r="AC1013" s="104"/>
      <c r="AD1013" s="104"/>
      <c r="AE1013" s="104"/>
    </row>
    <row r="1014">
      <c r="A1014" s="103"/>
      <c r="B1014" s="103"/>
      <c r="C1014" s="103"/>
      <c r="D1014" s="103"/>
      <c r="E1014" s="104"/>
      <c r="F1014" s="104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  <c r="T1014" s="104"/>
      <c r="U1014" s="104"/>
      <c r="V1014" s="104"/>
      <c r="W1014" s="104"/>
      <c r="X1014" s="104"/>
      <c r="Y1014" s="104"/>
      <c r="Z1014" s="104"/>
      <c r="AA1014" s="104"/>
      <c r="AB1014" s="104"/>
      <c r="AC1014" s="104"/>
      <c r="AD1014" s="104"/>
      <c r="AE1014" s="104"/>
    </row>
    <row r="1015">
      <c r="A1015" s="103"/>
      <c r="B1015" s="103"/>
      <c r="C1015" s="103"/>
      <c r="D1015" s="103"/>
      <c r="E1015" s="104"/>
      <c r="F1015" s="104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4"/>
      <c r="V1015" s="104"/>
      <c r="W1015" s="104"/>
      <c r="X1015" s="104"/>
      <c r="Y1015" s="104"/>
      <c r="Z1015" s="104"/>
      <c r="AA1015" s="104"/>
      <c r="AB1015" s="104"/>
      <c r="AC1015" s="104"/>
      <c r="AD1015" s="104"/>
      <c r="AE1015" s="104"/>
    </row>
    <row r="1016">
      <c r="A1016" s="103"/>
      <c r="B1016" s="103"/>
      <c r="C1016" s="103"/>
      <c r="D1016" s="103"/>
      <c r="E1016" s="104"/>
      <c r="F1016" s="104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  <c r="T1016" s="104"/>
      <c r="U1016" s="104"/>
      <c r="V1016" s="104"/>
      <c r="W1016" s="104"/>
      <c r="X1016" s="104"/>
      <c r="Y1016" s="104"/>
      <c r="Z1016" s="104"/>
      <c r="AA1016" s="104"/>
      <c r="AB1016" s="104"/>
      <c r="AC1016" s="104"/>
      <c r="AD1016" s="104"/>
      <c r="AE1016" s="104"/>
    </row>
    <row r="1017">
      <c r="A1017" s="103"/>
      <c r="B1017" s="103"/>
      <c r="C1017" s="103"/>
      <c r="D1017" s="103"/>
      <c r="E1017" s="104"/>
      <c r="F1017" s="104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  <c r="T1017" s="104"/>
      <c r="U1017" s="104"/>
      <c r="V1017" s="104"/>
      <c r="W1017" s="104"/>
      <c r="X1017" s="104"/>
      <c r="Y1017" s="104"/>
      <c r="Z1017" s="104"/>
      <c r="AA1017" s="104"/>
      <c r="AB1017" s="104"/>
      <c r="AC1017" s="104"/>
      <c r="AD1017" s="104"/>
      <c r="AE1017" s="104"/>
    </row>
    <row r="1018">
      <c r="A1018" s="103"/>
      <c r="B1018" s="103"/>
      <c r="C1018" s="103"/>
      <c r="D1018" s="103"/>
      <c r="E1018" s="104"/>
      <c r="F1018" s="104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  <c r="T1018" s="104"/>
      <c r="U1018" s="104"/>
      <c r="V1018" s="104"/>
      <c r="W1018" s="104"/>
      <c r="X1018" s="104"/>
      <c r="Y1018" s="104"/>
      <c r="Z1018" s="104"/>
      <c r="AA1018" s="104"/>
      <c r="AB1018" s="104"/>
      <c r="AC1018" s="104"/>
      <c r="AD1018" s="104"/>
      <c r="AE1018" s="10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75"/>
    <col customWidth="1" min="2" max="2" width="14.88"/>
    <col customWidth="1" min="7" max="7" width="22.75"/>
  </cols>
  <sheetData>
    <row r="1">
      <c r="A1" s="7" t="s">
        <v>1973</v>
      </c>
      <c r="B1" s="176" t="s">
        <v>1938</v>
      </c>
    </row>
    <row r="2">
      <c r="A2" s="177" t="s">
        <v>1974</v>
      </c>
      <c r="B2" s="178" t="s">
        <v>1975</v>
      </c>
      <c r="C2" s="13"/>
      <c r="D2" s="13"/>
      <c r="E2" s="13"/>
      <c r="F2" s="13"/>
      <c r="G2" s="177" t="s">
        <v>1976</v>
      </c>
      <c r="H2" s="179">
        <v>46168.0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80" t="s">
        <v>1977</v>
      </c>
      <c r="B3" s="178" t="s">
        <v>1978</v>
      </c>
      <c r="C3" s="13"/>
      <c r="D3" s="13"/>
      <c r="E3" s="13"/>
      <c r="F3" s="13"/>
      <c r="G3" s="177" t="s">
        <v>1979</v>
      </c>
      <c r="H3" s="179">
        <v>46168.0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">
        <v>1980</v>
      </c>
      <c r="B4" s="181">
        <v>46183.0</v>
      </c>
      <c r="G4" s="7" t="s">
        <v>1981</v>
      </c>
      <c r="H4" s="7" t="s">
        <v>1982</v>
      </c>
    </row>
    <row r="5">
      <c r="A5" s="7" t="s">
        <v>1983</v>
      </c>
      <c r="B5" s="182">
        <v>46183.0</v>
      </c>
      <c r="G5" s="7" t="s">
        <v>1984</v>
      </c>
      <c r="H5" s="7" t="s">
        <v>1982</v>
      </c>
    </row>
    <row r="6">
      <c r="A6" s="7" t="s">
        <v>1985</v>
      </c>
      <c r="B6" s="182">
        <v>46183.0</v>
      </c>
      <c r="G6" s="7" t="s">
        <v>1986</v>
      </c>
      <c r="H6" s="7" t="s">
        <v>1982</v>
      </c>
    </row>
    <row r="7">
      <c r="A7" s="7" t="s">
        <v>1987</v>
      </c>
      <c r="B7" s="182">
        <v>46183.0</v>
      </c>
      <c r="G7" s="177" t="s">
        <v>1988</v>
      </c>
    </row>
    <row r="8">
      <c r="A8" s="7" t="s">
        <v>1989</v>
      </c>
      <c r="B8" s="182">
        <v>46183.0</v>
      </c>
      <c r="G8" s="7" t="s">
        <v>1990</v>
      </c>
      <c r="H8" s="183">
        <v>46183.0</v>
      </c>
    </row>
    <row r="9">
      <c r="A9" s="7" t="s">
        <v>1991</v>
      </c>
      <c r="B9" s="182">
        <v>46183.0</v>
      </c>
      <c r="G9" s="7" t="s">
        <v>1992</v>
      </c>
      <c r="H9" s="7" t="s">
        <v>1982</v>
      </c>
    </row>
    <row r="10">
      <c r="A10" s="7" t="s">
        <v>1993</v>
      </c>
      <c r="B10" s="182">
        <v>46183.0</v>
      </c>
      <c r="G10" s="7" t="s">
        <v>1994</v>
      </c>
      <c r="H10" s="7" t="s">
        <v>1995</v>
      </c>
    </row>
    <row r="11">
      <c r="A11" s="177" t="s">
        <v>1996</v>
      </c>
      <c r="B11" s="178" t="s">
        <v>1997</v>
      </c>
      <c r="C11" s="13"/>
      <c r="G11" s="7" t="s">
        <v>1998</v>
      </c>
      <c r="H11" s="7" t="s">
        <v>1982</v>
      </c>
    </row>
    <row r="12">
      <c r="A12" s="177" t="s">
        <v>1999</v>
      </c>
      <c r="B12" s="178" t="s">
        <v>1997</v>
      </c>
      <c r="C12" s="13"/>
      <c r="G12" s="7" t="s">
        <v>2000</v>
      </c>
      <c r="H12" s="7" t="s">
        <v>1982</v>
      </c>
    </row>
    <row r="13">
      <c r="A13" s="7" t="s">
        <v>2001</v>
      </c>
      <c r="B13" s="182">
        <v>46183.0</v>
      </c>
      <c r="G13" s="7" t="s">
        <v>2002</v>
      </c>
      <c r="H13" s="7" t="s">
        <v>1995</v>
      </c>
    </row>
    <row r="14">
      <c r="A14" s="7" t="s">
        <v>2003</v>
      </c>
      <c r="B14" s="182">
        <v>46183.0</v>
      </c>
      <c r="G14" s="177" t="s">
        <v>2004</v>
      </c>
      <c r="H14" s="7" t="s">
        <v>2005</v>
      </c>
    </row>
    <row r="15">
      <c r="A15" s="7" t="s">
        <v>2006</v>
      </c>
      <c r="B15" s="182">
        <v>46183.0</v>
      </c>
    </row>
    <row r="16">
      <c r="A16" s="7" t="s">
        <v>2007</v>
      </c>
      <c r="B16" s="182">
        <v>46183.0</v>
      </c>
    </row>
    <row r="17">
      <c r="A17" s="177" t="s">
        <v>2008</v>
      </c>
      <c r="B17" s="178" t="s">
        <v>1978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7" t="s">
        <v>2009</v>
      </c>
      <c r="B18" s="182">
        <v>46183.0</v>
      </c>
    </row>
    <row r="19">
      <c r="A19" s="7" t="s">
        <v>2010</v>
      </c>
      <c r="B19" s="182">
        <v>46183.0</v>
      </c>
    </row>
    <row r="20">
      <c r="A20" s="7" t="s">
        <v>2011</v>
      </c>
      <c r="B20" s="182">
        <v>46183.0</v>
      </c>
    </row>
    <row r="21">
      <c r="A21" s="177" t="s">
        <v>2012</v>
      </c>
      <c r="B21" s="178" t="s">
        <v>1978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7" t="s">
        <v>2013</v>
      </c>
      <c r="B22" s="182">
        <v>46183.0</v>
      </c>
    </row>
    <row r="23">
      <c r="A23" s="7" t="s">
        <v>2014</v>
      </c>
      <c r="B23" s="182">
        <v>46183.0</v>
      </c>
    </row>
    <row r="24">
      <c r="A24" s="7" t="s">
        <v>2015</v>
      </c>
      <c r="B24" s="182">
        <v>46183.0</v>
      </c>
    </row>
    <row r="25">
      <c r="A25" s="7" t="s">
        <v>2016</v>
      </c>
      <c r="B25" s="182">
        <v>46183.0</v>
      </c>
    </row>
    <row r="26">
      <c r="A26" s="7" t="s">
        <v>2017</v>
      </c>
      <c r="B26" s="182">
        <v>46183.0</v>
      </c>
    </row>
    <row r="27">
      <c r="A27" s="7" t="s">
        <v>2018</v>
      </c>
      <c r="B27" s="182">
        <v>46183.0</v>
      </c>
    </row>
    <row r="28">
      <c r="A28" s="7" t="s">
        <v>2019</v>
      </c>
      <c r="B28" s="182">
        <v>46183.0</v>
      </c>
    </row>
    <row r="29">
      <c r="A29" s="7" t="s">
        <v>2020</v>
      </c>
      <c r="B29" s="182">
        <v>46183.0</v>
      </c>
    </row>
    <row r="30">
      <c r="A30" s="7" t="s">
        <v>2021</v>
      </c>
      <c r="B30" s="182">
        <v>46183.0</v>
      </c>
    </row>
    <row r="31">
      <c r="A31" s="7" t="s">
        <v>2022</v>
      </c>
      <c r="B31" s="182">
        <v>46183.0</v>
      </c>
    </row>
    <row r="32">
      <c r="A32" s="7" t="s">
        <v>2023</v>
      </c>
      <c r="B32" s="176" t="s">
        <v>2024</v>
      </c>
    </row>
    <row r="33">
      <c r="A33" s="7" t="s">
        <v>2025</v>
      </c>
      <c r="B33" s="182">
        <v>46183.0</v>
      </c>
    </row>
    <row r="34">
      <c r="A34" s="7" t="s">
        <v>2026</v>
      </c>
      <c r="B34" s="182">
        <v>46183.0</v>
      </c>
    </row>
    <row r="35">
      <c r="A35" s="7" t="s">
        <v>2027</v>
      </c>
      <c r="B35" s="182">
        <v>46183.0</v>
      </c>
    </row>
    <row r="36">
      <c r="A36" s="7" t="s">
        <v>2028</v>
      </c>
      <c r="B36" s="182">
        <v>46183.0</v>
      </c>
    </row>
    <row r="37">
      <c r="A37" s="7" t="s">
        <v>2029</v>
      </c>
      <c r="B37" s="182">
        <v>46183.0</v>
      </c>
    </row>
    <row r="38">
      <c r="A38" s="177" t="s">
        <v>2030</v>
      </c>
      <c r="B38" s="178" t="s">
        <v>1978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77" t="s">
        <v>2031</v>
      </c>
      <c r="B39" s="178" t="s">
        <v>1978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7" t="s">
        <v>2032</v>
      </c>
      <c r="B40" s="182">
        <v>46183.0</v>
      </c>
    </row>
    <row r="41">
      <c r="A41" s="7" t="s">
        <v>2033</v>
      </c>
      <c r="B41" s="176" t="s">
        <v>2034</v>
      </c>
    </row>
    <row r="42">
      <c r="A42" s="7" t="s">
        <v>2035</v>
      </c>
      <c r="B42" s="182">
        <v>46183.0</v>
      </c>
    </row>
    <row r="43">
      <c r="A43" s="7" t="s">
        <v>2036</v>
      </c>
      <c r="B43" s="182">
        <v>46183.0</v>
      </c>
    </row>
    <row r="44">
      <c r="A44" s="7" t="s">
        <v>2037</v>
      </c>
      <c r="B44" s="182">
        <v>46183.0</v>
      </c>
    </row>
    <row r="45">
      <c r="A45" s="7" t="s">
        <v>2038</v>
      </c>
      <c r="B45" s="182">
        <v>46183.0</v>
      </c>
    </row>
    <row r="46">
      <c r="A46" s="7" t="s">
        <v>2039</v>
      </c>
      <c r="B46" s="182">
        <v>46183.0</v>
      </c>
    </row>
    <row r="47">
      <c r="A47" s="7" t="s">
        <v>2040</v>
      </c>
      <c r="B47" s="184" t="s">
        <v>2041</v>
      </c>
    </row>
    <row r="48">
      <c r="A48" s="7" t="s">
        <v>2042</v>
      </c>
      <c r="B48" s="176" t="s">
        <v>2034</v>
      </c>
    </row>
    <row r="49">
      <c r="A49" s="7" t="s">
        <v>2043</v>
      </c>
      <c r="B49" s="182">
        <v>46183.0</v>
      </c>
    </row>
    <row r="50">
      <c r="A50" s="7" t="s">
        <v>2044</v>
      </c>
      <c r="B50" s="182">
        <v>46183.0</v>
      </c>
    </row>
    <row r="51">
      <c r="A51" s="7" t="s">
        <v>2045</v>
      </c>
      <c r="B51" s="185"/>
    </row>
    <row r="52">
      <c r="A52" s="7" t="s">
        <v>2046</v>
      </c>
      <c r="B52" s="185"/>
    </row>
    <row r="53">
      <c r="A53" s="7" t="s">
        <v>2047</v>
      </c>
      <c r="B53" s="185"/>
    </row>
    <row r="54">
      <c r="B54" s="185"/>
    </row>
    <row r="55">
      <c r="B55" s="185"/>
    </row>
    <row r="56">
      <c r="B56" s="185"/>
    </row>
    <row r="57">
      <c r="B57" s="185"/>
    </row>
    <row r="58">
      <c r="B58" s="185"/>
    </row>
    <row r="59">
      <c r="B59" s="185"/>
    </row>
    <row r="60">
      <c r="B60" s="185"/>
    </row>
    <row r="61">
      <c r="B61" s="185"/>
    </row>
    <row r="62">
      <c r="B62" s="185"/>
    </row>
    <row r="63">
      <c r="B63" s="185"/>
    </row>
    <row r="64">
      <c r="B64" s="185"/>
    </row>
    <row r="65">
      <c r="B65" s="185"/>
    </row>
    <row r="66">
      <c r="B66" s="185"/>
    </row>
    <row r="67">
      <c r="B67" s="185"/>
    </row>
    <row r="68">
      <c r="B68" s="185"/>
    </row>
    <row r="69">
      <c r="B69" s="185"/>
    </row>
    <row r="70">
      <c r="B70" s="185"/>
    </row>
    <row r="71">
      <c r="B71" s="185"/>
    </row>
    <row r="72">
      <c r="B72" s="185"/>
    </row>
    <row r="73">
      <c r="B73" s="185"/>
    </row>
    <row r="74">
      <c r="B74" s="185"/>
    </row>
    <row r="75">
      <c r="B75" s="185"/>
    </row>
    <row r="76">
      <c r="B76" s="185"/>
    </row>
    <row r="77">
      <c r="B77" s="185"/>
    </row>
    <row r="78">
      <c r="B78" s="185"/>
    </row>
    <row r="79">
      <c r="B79" s="185"/>
    </row>
    <row r="80">
      <c r="B80" s="185"/>
    </row>
    <row r="81">
      <c r="B81" s="185"/>
    </row>
    <row r="82">
      <c r="B82" s="185"/>
    </row>
    <row r="83">
      <c r="B83" s="185"/>
    </row>
    <row r="84">
      <c r="B84" s="185"/>
    </row>
    <row r="85">
      <c r="B85" s="185"/>
    </row>
    <row r="86">
      <c r="B86" s="185"/>
    </row>
    <row r="87">
      <c r="B87" s="185"/>
    </row>
    <row r="88">
      <c r="B88" s="185"/>
    </row>
    <row r="89">
      <c r="B89" s="185"/>
    </row>
    <row r="90">
      <c r="B90" s="185"/>
    </row>
    <row r="91">
      <c r="B91" s="185"/>
    </row>
    <row r="92">
      <c r="B92" s="185"/>
    </row>
    <row r="93">
      <c r="B93" s="185"/>
    </row>
    <row r="94">
      <c r="B94" s="185"/>
    </row>
    <row r="95">
      <c r="B95" s="185"/>
    </row>
    <row r="96">
      <c r="B96" s="185"/>
    </row>
    <row r="97">
      <c r="B97" s="185"/>
    </row>
    <row r="98">
      <c r="B98" s="185"/>
    </row>
    <row r="99">
      <c r="B99" s="185"/>
    </row>
    <row r="100">
      <c r="B100" s="185"/>
    </row>
    <row r="101">
      <c r="B101" s="185"/>
    </row>
    <row r="102">
      <c r="B102" s="185"/>
    </row>
    <row r="103">
      <c r="B103" s="185"/>
    </row>
    <row r="104">
      <c r="B104" s="185"/>
    </row>
    <row r="105">
      <c r="B105" s="185"/>
    </row>
    <row r="106">
      <c r="B106" s="185"/>
    </row>
    <row r="107">
      <c r="B107" s="185"/>
    </row>
    <row r="108">
      <c r="B108" s="185"/>
    </row>
    <row r="109">
      <c r="B109" s="185"/>
    </row>
    <row r="110">
      <c r="B110" s="185"/>
    </row>
    <row r="111">
      <c r="B111" s="185"/>
    </row>
    <row r="112">
      <c r="B112" s="185"/>
    </row>
    <row r="113">
      <c r="B113" s="185"/>
    </row>
    <row r="114">
      <c r="B114" s="185"/>
    </row>
    <row r="115">
      <c r="B115" s="185"/>
    </row>
    <row r="116">
      <c r="B116" s="185"/>
    </row>
    <row r="117">
      <c r="B117" s="185"/>
    </row>
    <row r="118">
      <c r="B118" s="185"/>
    </row>
    <row r="119">
      <c r="B119" s="185"/>
    </row>
    <row r="120">
      <c r="B120" s="185"/>
    </row>
    <row r="121">
      <c r="B121" s="185"/>
    </row>
    <row r="122">
      <c r="B122" s="185"/>
    </row>
    <row r="123">
      <c r="B123" s="185"/>
    </row>
    <row r="124">
      <c r="B124" s="185"/>
    </row>
    <row r="125">
      <c r="B125" s="185"/>
    </row>
    <row r="126">
      <c r="B126" s="185"/>
    </row>
    <row r="127">
      <c r="B127" s="185"/>
    </row>
    <row r="128">
      <c r="B128" s="185"/>
    </row>
    <row r="129">
      <c r="B129" s="185"/>
    </row>
    <row r="130">
      <c r="B130" s="185"/>
    </row>
    <row r="131">
      <c r="B131" s="185"/>
    </row>
    <row r="132">
      <c r="B132" s="185"/>
    </row>
    <row r="133">
      <c r="B133" s="185"/>
    </row>
    <row r="134">
      <c r="B134" s="185"/>
    </row>
    <row r="135">
      <c r="B135" s="185"/>
    </row>
    <row r="136">
      <c r="B136" s="185"/>
    </row>
    <row r="137">
      <c r="B137" s="185"/>
    </row>
    <row r="138">
      <c r="B138" s="185"/>
    </row>
    <row r="139">
      <c r="B139" s="185"/>
    </row>
    <row r="140">
      <c r="B140" s="185"/>
    </row>
    <row r="141">
      <c r="B141" s="185"/>
    </row>
    <row r="142">
      <c r="B142" s="185"/>
    </row>
    <row r="143">
      <c r="B143" s="185"/>
    </row>
    <row r="144">
      <c r="B144" s="185"/>
    </row>
    <row r="145">
      <c r="B145" s="185"/>
    </row>
    <row r="146">
      <c r="B146" s="185"/>
    </row>
    <row r="147">
      <c r="B147" s="185"/>
    </row>
    <row r="148">
      <c r="B148" s="185"/>
    </row>
    <row r="149">
      <c r="B149" s="185"/>
    </row>
    <row r="150">
      <c r="B150" s="185"/>
    </row>
    <row r="151">
      <c r="B151" s="185"/>
    </row>
    <row r="152">
      <c r="B152" s="185"/>
    </row>
    <row r="153">
      <c r="B153" s="185"/>
    </row>
    <row r="154">
      <c r="B154" s="185"/>
    </row>
    <row r="155">
      <c r="B155" s="185"/>
    </row>
    <row r="156">
      <c r="B156" s="185"/>
    </row>
    <row r="157">
      <c r="B157" s="185"/>
    </row>
    <row r="158">
      <c r="B158" s="185"/>
    </row>
    <row r="159">
      <c r="B159" s="185"/>
    </row>
    <row r="160">
      <c r="B160" s="185"/>
    </row>
    <row r="161">
      <c r="B161" s="185"/>
    </row>
    <row r="162">
      <c r="B162" s="185"/>
    </row>
    <row r="163">
      <c r="B163" s="185"/>
    </row>
    <row r="164">
      <c r="B164" s="185"/>
    </row>
    <row r="165">
      <c r="B165" s="185"/>
    </row>
    <row r="166">
      <c r="B166" s="185"/>
    </row>
    <row r="167">
      <c r="B167" s="185"/>
    </row>
    <row r="168">
      <c r="B168" s="185"/>
    </row>
    <row r="169">
      <c r="B169" s="185"/>
    </row>
    <row r="170">
      <c r="B170" s="185"/>
    </row>
    <row r="171">
      <c r="B171" s="185"/>
    </row>
    <row r="172">
      <c r="B172" s="185"/>
    </row>
    <row r="173">
      <c r="B173" s="185"/>
    </row>
    <row r="174">
      <c r="B174" s="185"/>
    </row>
    <row r="175">
      <c r="B175" s="185"/>
    </row>
    <row r="176">
      <c r="B176" s="185"/>
    </row>
    <row r="177">
      <c r="B177" s="185"/>
    </row>
    <row r="178">
      <c r="B178" s="185"/>
    </row>
    <row r="179">
      <c r="B179" s="185"/>
    </row>
    <row r="180">
      <c r="B180" s="185"/>
    </row>
    <row r="181">
      <c r="B181" s="185"/>
    </row>
    <row r="182">
      <c r="B182" s="185"/>
    </row>
    <row r="183">
      <c r="B183" s="185"/>
    </row>
    <row r="184">
      <c r="B184" s="185"/>
    </row>
    <row r="185">
      <c r="B185" s="185"/>
    </row>
    <row r="186">
      <c r="B186" s="185"/>
    </row>
    <row r="187">
      <c r="B187" s="185"/>
    </row>
    <row r="188">
      <c r="B188" s="185"/>
    </row>
    <row r="189">
      <c r="B189" s="185"/>
    </row>
    <row r="190">
      <c r="B190" s="185"/>
    </row>
    <row r="191">
      <c r="B191" s="185"/>
    </row>
    <row r="192">
      <c r="B192" s="185"/>
    </row>
    <row r="193">
      <c r="B193" s="185"/>
    </row>
    <row r="194">
      <c r="B194" s="185"/>
    </row>
    <row r="195">
      <c r="B195" s="185"/>
    </row>
    <row r="196">
      <c r="B196" s="185"/>
    </row>
    <row r="197">
      <c r="B197" s="185"/>
    </row>
    <row r="198">
      <c r="B198" s="185"/>
    </row>
    <row r="199">
      <c r="B199" s="185"/>
    </row>
    <row r="200">
      <c r="B200" s="185"/>
    </row>
    <row r="201">
      <c r="B201" s="185"/>
    </row>
    <row r="202">
      <c r="B202" s="185"/>
    </row>
    <row r="203">
      <c r="B203" s="185"/>
    </row>
    <row r="204">
      <c r="B204" s="185"/>
    </row>
    <row r="205">
      <c r="B205" s="185"/>
    </row>
    <row r="206">
      <c r="B206" s="185"/>
    </row>
    <row r="207">
      <c r="B207" s="185"/>
    </row>
    <row r="208">
      <c r="B208" s="185"/>
    </row>
    <row r="209">
      <c r="B209" s="185"/>
    </row>
    <row r="210">
      <c r="B210" s="185"/>
    </row>
    <row r="211">
      <c r="B211" s="185"/>
    </row>
    <row r="212">
      <c r="B212" s="185"/>
    </row>
    <row r="213">
      <c r="B213" s="185"/>
    </row>
    <row r="214">
      <c r="B214" s="185"/>
    </row>
    <row r="215">
      <c r="B215" s="185"/>
    </row>
    <row r="216">
      <c r="B216" s="185"/>
    </row>
    <row r="217">
      <c r="B217" s="185"/>
    </row>
    <row r="218">
      <c r="B218" s="185"/>
    </row>
    <row r="219">
      <c r="B219" s="185"/>
    </row>
    <row r="220">
      <c r="B220" s="185"/>
    </row>
    <row r="221">
      <c r="B221" s="185"/>
    </row>
    <row r="222">
      <c r="B222" s="185"/>
    </row>
    <row r="223">
      <c r="B223" s="185"/>
    </row>
    <row r="224">
      <c r="B224" s="185"/>
    </row>
    <row r="225">
      <c r="B225" s="185"/>
    </row>
    <row r="226">
      <c r="B226" s="185"/>
    </row>
    <row r="227">
      <c r="B227" s="185"/>
    </row>
    <row r="228">
      <c r="B228" s="185"/>
    </row>
    <row r="229">
      <c r="B229" s="185"/>
    </row>
    <row r="230">
      <c r="B230" s="185"/>
    </row>
    <row r="231">
      <c r="B231" s="185"/>
    </row>
    <row r="232">
      <c r="B232" s="185"/>
    </row>
    <row r="233">
      <c r="B233" s="185"/>
    </row>
    <row r="234">
      <c r="B234" s="185"/>
    </row>
    <row r="235">
      <c r="B235" s="185"/>
    </row>
    <row r="236">
      <c r="B236" s="185"/>
    </row>
    <row r="237">
      <c r="B237" s="185"/>
    </row>
    <row r="238">
      <c r="B238" s="185"/>
    </row>
    <row r="239">
      <c r="B239" s="185"/>
    </row>
    <row r="240">
      <c r="B240" s="185"/>
    </row>
    <row r="241">
      <c r="B241" s="185"/>
    </row>
    <row r="242">
      <c r="B242" s="185"/>
    </row>
    <row r="243">
      <c r="B243" s="185"/>
    </row>
    <row r="244">
      <c r="B244" s="185"/>
    </row>
    <row r="245">
      <c r="B245" s="185"/>
    </row>
    <row r="246">
      <c r="B246" s="185"/>
    </row>
    <row r="247">
      <c r="B247" s="185"/>
    </row>
    <row r="248">
      <c r="B248" s="185"/>
    </row>
    <row r="249">
      <c r="B249" s="185"/>
    </row>
    <row r="250">
      <c r="B250" s="185"/>
    </row>
    <row r="251">
      <c r="B251" s="185"/>
    </row>
    <row r="252">
      <c r="B252" s="185"/>
    </row>
    <row r="253">
      <c r="B253" s="185"/>
    </row>
    <row r="254">
      <c r="B254" s="185"/>
    </row>
    <row r="255">
      <c r="B255" s="185"/>
    </row>
    <row r="256">
      <c r="B256" s="185"/>
    </row>
    <row r="257">
      <c r="B257" s="185"/>
    </row>
    <row r="258">
      <c r="B258" s="185"/>
    </row>
    <row r="259">
      <c r="B259" s="185"/>
    </row>
    <row r="260">
      <c r="B260" s="185"/>
    </row>
    <row r="261">
      <c r="B261" s="185"/>
    </row>
    <row r="262">
      <c r="B262" s="185"/>
    </row>
    <row r="263">
      <c r="B263" s="185"/>
    </row>
    <row r="264">
      <c r="B264" s="185"/>
    </row>
    <row r="265">
      <c r="B265" s="185"/>
    </row>
    <row r="266">
      <c r="B266" s="185"/>
    </row>
    <row r="267">
      <c r="B267" s="185"/>
    </row>
    <row r="268">
      <c r="B268" s="185"/>
    </row>
    <row r="269">
      <c r="B269" s="185"/>
    </row>
    <row r="270">
      <c r="B270" s="185"/>
    </row>
    <row r="271">
      <c r="B271" s="185"/>
    </row>
    <row r="272">
      <c r="B272" s="185"/>
    </row>
    <row r="273">
      <c r="B273" s="185"/>
    </row>
    <row r="274">
      <c r="B274" s="185"/>
    </row>
    <row r="275">
      <c r="B275" s="185"/>
    </row>
    <row r="276">
      <c r="B276" s="185"/>
    </row>
    <row r="277">
      <c r="B277" s="185"/>
    </row>
    <row r="278">
      <c r="B278" s="185"/>
    </row>
    <row r="279">
      <c r="B279" s="185"/>
    </row>
    <row r="280">
      <c r="B280" s="185"/>
    </row>
    <row r="281">
      <c r="B281" s="185"/>
    </row>
    <row r="282">
      <c r="B282" s="185"/>
    </row>
    <row r="283">
      <c r="B283" s="185"/>
    </row>
    <row r="284">
      <c r="B284" s="185"/>
    </row>
    <row r="285">
      <c r="B285" s="185"/>
    </row>
    <row r="286">
      <c r="B286" s="185"/>
    </row>
    <row r="287">
      <c r="B287" s="185"/>
    </row>
    <row r="288">
      <c r="B288" s="185"/>
    </row>
    <row r="289">
      <c r="B289" s="185"/>
    </row>
    <row r="290">
      <c r="B290" s="185"/>
    </row>
    <row r="291">
      <c r="B291" s="185"/>
    </row>
    <row r="292">
      <c r="B292" s="185"/>
    </row>
    <row r="293">
      <c r="B293" s="185"/>
    </row>
    <row r="294">
      <c r="B294" s="185"/>
    </row>
    <row r="295">
      <c r="B295" s="185"/>
    </row>
    <row r="296">
      <c r="B296" s="185"/>
    </row>
    <row r="297">
      <c r="B297" s="185"/>
    </row>
    <row r="298">
      <c r="B298" s="185"/>
    </row>
    <row r="299">
      <c r="B299" s="185"/>
    </row>
    <row r="300">
      <c r="B300" s="185"/>
    </row>
    <row r="301">
      <c r="B301" s="185"/>
    </row>
    <row r="302">
      <c r="B302" s="185"/>
    </row>
    <row r="303">
      <c r="B303" s="185"/>
    </row>
    <row r="304">
      <c r="B304" s="185"/>
    </row>
    <row r="305">
      <c r="B305" s="185"/>
    </row>
    <row r="306">
      <c r="B306" s="185"/>
    </row>
    <row r="307">
      <c r="B307" s="185"/>
    </row>
    <row r="308">
      <c r="B308" s="185"/>
    </row>
    <row r="309">
      <c r="B309" s="185"/>
    </row>
    <row r="310">
      <c r="B310" s="185"/>
    </row>
    <row r="311">
      <c r="B311" s="185"/>
    </row>
    <row r="312">
      <c r="B312" s="185"/>
    </row>
    <row r="313">
      <c r="B313" s="185"/>
    </row>
    <row r="314">
      <c r="B314" s="185"/>
    </row>
    <row r="315">
      <c r="B315" s="185"/>
    </row>
    <row r="316">
      <c r="B316" s="185"/>
    </row>
    <row r="317">
      <c r="B317" s="185"/>
    </row>
    <row r="318">
      <c r="B318" s="185"/>
    </row>
    <row r="319">
      <c r="B319" s="185"/>
    </row>
    <row r="320">
      <c r="B320" s="185"/>
    </row>
    <row r="321">
      <c r="B321" s="185"/>
    </row>
    <row r="322">
      <c r="B322" s="185"/>
    </row>
    <row r="323">
      <c r="B323" s="185"/>
    </row>
    <row r="324">
      <c r="B324" s="185"/>
    </row>
    <row r="325">
      <c r="B325" s="185"/>
    </row>
    <row r="326">
      <c r="B326" s="185"/>
    </row>
    <row r="327">
      <c r="B327" s="185"/>
    </row>
    <row r="328">
      <c r="B328" s="185"/>
    </row>
    <row r="329">
      <c r="B329" s="185"/>
    </row>
    <row r="330">
      <c r="B330" s="185"/>
    </row>
    <row r="331">
      <c r="B331" s="185"/>
    </row>
    <row r="332">
      <c r="B332" s="185"/>
    </row>
    <row r="333">
      <c r="B333" s="185"/>
    </row>
    <row r="334">
      <c r="B334" s="185"/>
    </row>
    <row r="335">
      <c r="B335" s="185"/>
    </row>
    <row r="336">
      <c r="B336" s="185"/>
    </row>
    <row r="337">
      <c r="B337" s="185"/>
    </row>
    <row r="338">
      <c r="B338" s="185"/>
    </row>
    <row r="339">
      <c r="B339" s="185"/>
    </row>
    <row r="340">
      <c r="B340" s="185"/>
    </row>
    <row r="341">
      <c r="B341" s="185"/>
    </row>
    <row r="342">
      <c r="B342" s="185"/>
    </row>
    <row r="343">
      <c r="B343" s="185"/>
    </row>
    <row r="344">
      <c r="B344" s="185"/>
    </row>
    <row r="345">
      <c r="B345" s="185"/>
    </row>
    <row r="346">
      <c r="B346" s="185"/>
    </row>
    <row r="347">
      <c r="B347" s="185"/>
    </row>
    <row r="348">
      <c r="B348" s="185"/>
    </row>
    <row r="349">
      <c r="B349" s="185"/>
    </row>
    <row r="350">
      <c r="B350" s="185"/>
    </row>
    <row r="351">
      <c r="B351" s="185"/>
    </row>
    <row r="352">
      <c r="B352" s="185"/>
    </row>
    <row r="353">
      <c r="B353" s="185"/>
    </row>
    <row r="354">
      <c r="B354" s="185"/>
    </row>
    <row r="355">
      <c r="B355" s="185"/>
    </row>
    <row r="356">
      <c r="B356" s="185"/>
    </row>
    <row r="357">
      <c r="B357" s="185"/>
    </row>
    <row r="358">
      <c r="B358" s="185"/>
    </row>
    <row r="359">
      <c r="B359" s="185"/>
    </row>
    <row r="360">
      <c r="B360" s="185"/>
    </row>
    <row r="361">
      <c r="B361" s="185"/>
    </row>
    <row r="362">
      <c r="B362" s="185"/>
    </row>
    <row r="363">
      <c r="B363" s="185"/>
    </row>
    <row r="364">
      <c r="B364" s="185"/>
    </row>
    <row r="365">
      <c r="B365" s="185"/>
    </row>
    <row r="366">
      <c r="B366" s="185"/>
    </row>
    <row r="367">
      <c r="B367" s="185"/>
    </row>
    <row r="368">
      <c r="B368" s="185"/>
    </row>
    <row r="369">
      <c r="B369" s="185"/>
    </row>
    <row r="370">
      <c r="B370" s="185"/>
    </row>
    <row r="371">
      <c r="B371" s="185"/>
    </row>
    <row r="372">
      <c r="B372" s="185"/>
    </row>
    <row r="373">
      <c r="B373" s="185"/>
    </row>
    <row r="374">
      <c r="B374" s="185"/>
    </row>
    <row r="375">
      <c r="B375" s="185"/>
    </row>
    <row r="376">
      <c r="B376" s="185"/>
    </row>
    <row r="377">
      <c r="B377" s="185"/>
    </row>
    <row r="378">
      <c r="B378" s="185"/>
    </row>
    <row r="379">
      <c r="B379" s="185"/>
    </row>
    <row r="380">
      <c r="B380" s="185"/>
    </row>
    <row r="381">
      <c r="B381" s="185"/>
    </row>
    <row r="382">
      <c r="B382" s="185"/>
    </row>
    <row r="383">
      <c r="B383" s="185"/>
    </row>
    <row r="384">
      <c r="B384" s="185"/>
    </row>
    <row r="385">
      <c r="B385" s="185"/>
    </row>
    <row r="386">
      <c r="B386" s="185"/>
    </row>
    <row r="387">
      <c r="B387" s="185"/>
    </row>
    <row r="388">
      <c r="B388" s="185"/>
    </row>
    <row r="389">
      <c r="B389" s="185"/>
    </row>
    <row r="390">
      <c r="B390" s="185"/>
    </row>
    <row r="391">
      <c r="B391" s="185"/>
    </row>
    <row r="392">
      <c r="B392" s="185"/>
    </row>
    <row r="393">
      <c r="B393" s="185"/>
    </row>
    <row r="394">
      <c r="B394" s="185"/>
    </row>
    <row r="395">
      <c r="B395" s="185"/>
    </row>
    <row r="396">
      <c r="B396" s="185"/>
    </row>
    <row r="397">
      <c r="B397" s="185"/>
    </row>
    <row r="398">
      <c r="B398" s="185"/>
    </row>
    <row r="399">
      <c r="B399" s="185"/>
    </row>
    <row r="400">
      <c r="B400" s="185"/>
    </row>
    <row r="401">
      <c r="B401" s="185"/>
    </row>
    <row r="402">
      <c r="B402" s="185"/>
    </row>
    <row r="403">
      <c r="B403" s="185"/>
    </row>
    <row r="404">
      <c r="B404" s="185"/>
    </row>
    <row r="405">
      <c r="B405" s="185"/>
    </row>
    <row r="406">
      <c r="B406" s="185"/>
    </row>
    <row r="407">
      <c r="B407" s="185"/>
    </row>
    <row r="408">
      <c r="B408" s="185"/>
    </row>
    <row r="409">
      <c r="B409" s="185"/>
    </row>
    <row r="410">
      <c r="B410" s="185"/>
    </row>
    <row r="411">
      <c r="B411" s="185"/>
    </row>
    <row r="412">
      <c r="B412" s="185"/>
    </row>
    <row r="413">
      <c r="B413" s="185"/>
    </row>
    <row r="414">
      <c r="B414" s="185"/>
    </row>
    <row r="415">
      <c r="B415" s="185"/>
    </row>
    <row r="416">
      <c r="B416" s="185"/>
    </row>
    <row r="417">
      <c r="B417" s="185"/>
    </row>
    <row r="418">
      <c r="B418" s="185"/>
    </row>
    <row r="419">
      <c r="B419" s="185"/>
    </row>
    <row r="420">
      <c r="B420" s="185"/>
    </row>
    <row r="421">
      <c r="B421" s="185"/>
    </row>
    <row r="422">
      <c r="B422" s="185"/>
    </row>
    <row r="423">
      <c r="B423" s="185"/>
    </row>
    <row r="424">
      <c r="B424" s="185"/>
    </row>
    <row r="425">
      <c r="B425" s="185"/>
    </row>
    <row r="426">
      <c r="B426" s="185"/>
    </row>
    <row r="427">
      <c r="B427" s="185"/>
    </row>
    <row r="428">
      <c r="B428" s="185"/>
    </row>
    <row r="429">
      <c r="B429" s="185"/>
    </row>
    <row r="430">
      <c r="B430" s="185"/>
    </row>
    <row r="431">
      <c r="B431" s="185"/>
    </row>
    <row r="432">
      <c r="B432" s="185"/>
    </row>
    <row r="433">
      <c r="B433" s="185"/>
    </row>
    <row r="434">
      <c r="B434" s="185"/>
    </row>
    <row r="435">
      <c r="B435" s="185"/>
    </row>
    <row r="436">
      <c r="B436" s="185"/>
    </row>
    <row r="437">
      <c r="B437" s="185"/>
    </row>
    <row r="438">
      <c r="B438" s="185"/>
    </row>
    <row r="439">
      <c r="B439" s="185"/>
    </row>
    <row r="440">
      <c r="B440" s="185"/>
    </row>
    <row r="441">
      <c r="B441" s="185"/>
    </row>
    <row r="442">
      <c r="B442" s="185"/>
    </row>
    <row r="443">
      <c r="B443" s="185"/>
    </row>
    <row r="444">
      <c r="B444" s="185"/>
    </row>
    <row r="445">
      <c r="B445" s="185"/>
    </row>
    <row r="446">
      <c r="B446" s="185"/>
    </row>
    <row r="447">
      <c r="B447" s="185"/>
    </row>
    <row r="448">
      <c r="B448" s="185"/>
    </row>
    <row r="449">
      <c r="B449" s="185"/>
    </row>
    <row r="450">
      <c r="B450" s="185"/>
    </row>
    <row r="451">
      <c r="B451" s="185"/>
    </row>
    <row r="452">
      <c r="B452" s="185"/>
    </row>
    <row r="453">
      <c r="B453" s="185"/>
    </row>
    <row r="454">
      <c r="B454" s="185"/>
    </row>
    <row r="455">
      <c r="B455" s="185"/>
    </row>
    <row r="456">
      <c r="B456" s="185"/>
    </row>
    <row r="457">
      <c r="B457" s="185"/>
    </row>
    <row r="458">
      <c r="B458" s="185"/>
    </row>
    <row r="459">
      <c r="B459" s="185"/>
    </row>
    <row r="460">
      <c r="B460" s="185"/>
    </row>
    <row r="461">
      <c r="B461" s="185"/>
    </row>
    <row r="462">
      <c r="B462" s="185"/>
    </row>
    <row r="463">
      <c r="B463" s="185"/>
    </row>
    <row r="464">
      <c r="B464" s="185"/>
    </row>
    <row r="465">
      <c r="B465" s="185"/>
    </row>
    <row r="466">
      <c r="B466" s="185"/>
    </row>
    <row r="467">
      <c r="B467" s="185"/>
    </row>
    <row r="468">
      <c r="B468" s="185"/>
    </row>
    <row r="469">
      <c r="B469" s="185"/>
    </row>
    <row r="470">
      <c r="B470" s="185"/>
    </row>
    <row r="471">
      <c r="B471" s="185"/>
    </row>
    <row r="472">
      <c r="B472" s="185"/>
    </row>
    <row r="473">
      <c r="B473" s="185"/>
    </row>
    <row r="474">
      <c r="B474" s="185"/>
    </row>
    <row r="475">
      <c r="B475" s="185"/>
    </row>
    <row r="476">
      <c r="B476" s="185"/>
    </row>
    <row r="477">
      <c r="B477" s="185"/>
    </row>
    <row r="478">
      <c r="B478" s="185"/>
    </row>
    <row r="479">
      <c r="B479" s="185"/>
    </row>
    <row r="480">
      <c r="B480" s="185"/>
    </row>
    <row r="481">
      <c r="B481" s="185"/>
    </row>
    <row r="482">
      <c r="B482" s="185"/>
    </row>
    <row r="483">
      <c r="B483" s="185"/>
    </row>
    <row r="484">
      <c r="B484" s="185"/>
    </row>
    <row r="485">
      <c r="B485" s="185"/>
    </row>
    <row r="486">
      <c r="B486" s="185"/>
    </row>
    <row r="487">
      <c r="B487" s="185"/>
    </row>
    <row r="488">
      <c r="B488" s="185"/>
    </row>
    <row r="489">
      <c r="B489" s="185"/>
    </row>
    <row r="490">
      <c r="B490" s="185"/>
    </row>
    <row r="491">
      <c r="B491" s="185"/>
    </row>
    <row r="492">
      <c r="B492" s="185"/>
    </row>
    <row r="493">
      <c r="B493" s="185"/>
    </row>
    <row r="494">
      <c r="B494" s="185"/>
    </row>
    <row r="495">
      <c r="B495" s="185"/>
    </row>
    <row r="496">
      <c r="B496" s="185"/>
    </row>
    <row r="497">
      <c r="B497" s="185"/>
    </row>
    <row r="498">
      <c r="B498" s="185"/>
    </row>
    <row r="499">
      <c r="B499" s="185"/>
    </row>
    <row r="500">
      <c r="B500" s="185"/>
    </row>
    <row r="501">
      <c r="B501" s="185"/>
    </row>
    <row r="502">
      <c r="B502" s="185"/>
    </row>
    <row r="503">
      <c r="B503" s="185"/>
    </row>
    <row r="504">
      <c r="B504" s="185"/>
    </row>
    <row r="505">
      <c r="B505" s="185"/>
    </row>
    <row r="506">
      <c r="B506" s="185"/>
    </row>
    <row r="507">
      <c r="B507" s="185"/>
    </row>
    <row r="508">
      <c r="B508" s="185"/>
    </row>
    <row r="509">
      <c r="B509" s="185"/>
    </row>
    <row r="510">
      <c r="B510" s="185"/>
    </row>
    <row r="511">
      <c r="B511" s="185"/>
    </row>
    <row r="512">
      <c r="B512" s="185"/>
    </row>
    <row r="513">
      <c r="B513" s="185"/>
    </row>
    <row r="514">
      <c r="B514" s="185"/>
    </row>
    <row r="515">
      <c r="B515" s="185"/>
    </row>
    <row r="516">
      <c r="B516" s="185"/>
    </row>
    <row r="517">
      <c r="B517" s="185"/>
    </row>
    <row r="518">
      <c r="B518" s="185"/>
    </row>
    <row r="519">
      <c r="B519" s="185"/>
    </row>
    <row r="520">
      <c r="B520" s="185"/>
    </row>
    <row r="521">
      <c r="B521" s="185"/>
    </row>
    <row r="522">
      <c r="B522" s="185"/>
    </row>
    <row r="523">
      <c r="B523" s="185"/>
    </row>
    <row r="524">
      <c r="B524" s="185"/>
    </row>
    <row r="525">
      <c r="B525" s="185"/>
    </row>
    <row r="526">
      <c r="B526" s="185"/>
    </row>
    <row r="527">
      <c r="B527" s="185"/>
    </row>
    <row r="528">
      <c r="B528" s="185"/>
    </row>
    <row r="529">
      <c r="B529" s="185"/>
    </row>
    <row r="530">
      <c r="B530" s="185"/>
    </row>
    <row r="531">
      <c r="B531" s="185"/>
    </row>
    <row r="532">
      <c r="B532" s="185"/>
    </row>
    <row r="533">
      <c r="B533" s="185"/>
    </row>
    <row r="534">
      <c r="B534" s="185"/>
    </row>
    <row r="535">
      <c r="B535" s="185"/>
    </row>
    <row r="536">
      <c r="B536" s="185"/>
    </row>
    <row r="537">
      <c r="B537" s="185"/>
    </row>
    <row r="538">
      <c r="B538" s="185"/>
    </row>
    <row r="539">
      <c r="B539" s="185"/>
    </row>
    <row r="540">
      <c r="B540" s="185"/>
    </row>
    <row r="541">
      <c r="B541" s="185"/>
    </row>
    <row r="542">
      <c r="B542" s="185"/>
    </row>
    <row r="543">
      <c r="B543" s="185"/>
    </row>
    <row r="544">
      <c r="B544" s="185"/>
    </row>
    <row r="545">
      <c r="B545" s="185"/>
    </row>
    <row r="546">
      <c r="B546" s="185"/>
    </row>
    <row r="547">
      <c r="B547" s="185"/>
    </row>
    <row r="548">
      <c r="B548" s="185"/>
    </row>
    <row r="549">
      <c r="B549" s="185"/>
    </row>
    <row r="550">
      <c r="B550" s="185"/>
    </row>
    <row r="551">
      <c r="B551" s="185"/>
    </row>
    <row r="552">
      <c r="B552" s="185"/>
    </row>
    <row r="553">
      <c r="B553" s="185"/>
    </row>
    <row r="554">
      <c r="B554" s="185"/>
    </row>
    <row r="555">
      <c r="B555" s="185"/>
    </row>
    <row r="556">
      <c r="B556" s="185"/>
    </row>
    <row r="557">
      <c r="B557" s="185"/>
    </row>
    <row r="558">
      <c r="B558" s="185"/>
    </row>
    <row r="559">
      <c r="B559" s="185"/>
    </row>
    <row r="560">
      <c r="B560" s="185"/>
    </row>
    <row r="561">
      <c r="B561" s="185"/>
    </row>
    <row r="562">
      <c r="B562" s="185"/>
    </row>
    <row r="563">
      <c r="B563" s="185"/>
    </row>
    <row r="564">
      <c r="B564" s="185"/>
    </row>
    <row r="565">
      <c r="B565" s="185"/>
    </row>
    <row r="566">
      <c r="B566" s="185"/>
    </row>
    <row r="567">
      <c r="B567" s="185"/>
    </row>
    <row r="568">
      <c r="B568" s="185"/>
    </row>
    <row r="569">
      <c r="B569" s="185"/>
    </row>
    <row r="570">
      <c r="B570" s="185"/>
    </row>
    <row r="571">
      <c r="B571" s="185"/>
    </row>
    <row r="572">
      <c r="B572" s="185"/>
    </row>
    <row r="573">
      <c r="B573" s="185"/>
    </row>
    <row r="574">
      <c r="B574" s="185"/>
    </row>
    <row r="575">
      <c r="B575" s="185"/>
    </row>
    <row r="576">
      <c r="B576" s="185"/>
    </row>
    <row r="577">
      <c r="B577" s="185"/>
    </row>
    <row r="578">
      <c r="B578" s="185"/>
    </row>
    <row r="579">
      <c r="B579" s="185"/>
    </row>
    <row r="580">
      <c r="B580" s="185"/>
    </row>
    <row r="581">
      <c r="B581" s="185"/>
    </row>
    <row r="582">
      <c r="B582" s="185"/>
    </row>
    <row r="583">
      <c r="B583" s="185"/>
    </row>
    <row r="584">
      <c r="B584" s="185"/>
    </row>
    <row r="585">
      <c r="B585" s="185"/>
    </row>
    <row r="586">
      <c r="B586" s="185"/>
    </row>
    <row r="587">
      <c r="B587" s="185"/>
    </row>
    <row r="588">
      <c r="B588" s="185"/>
    </row>
    <row r="589">
      <c r="B589" s="185"/>
    </row>
    <row r="590">
      <c r="B590" s="185"/>
    </row>
    <row r="591">
      <c r="B591" s="185"/>
    </row>
    <row r="592">
      <c r="B592" s="185"/>
    </row>
    <row r="593">
      <c r="B593" s="185"/>
    </row>
    <row r="594">
      <c r="B594" s="185"/>
    </row>
    <row r="595">
      <c r="B595" s="185"/>
    </row>
    <row r="596">
      <c r="B596" s="185"/>
    </row>
    <row r="597">
      <c r="B597" s="185"/>
    </row>
    <row r="598">
      <c r="B598" s="185"/>
    </row>
    <row r="599">
      <c r="B599" s="185"/>
    </row>
    <row r="600">
      <c r="B600" s="185"/>
    </row>
    <row r="601">
      <c r="B601" s="185"/>
    </row>
    <row r="602">
      <c r="B602" s="185"/>
    </row>
    <row r="603">
      <c r="B603" s="185"/>
    </row>
    <row r="604">
      <c r="B604" s="185"/>
    </row>
    <row r="605">
      <c r="B605" s="185"/>
    </row>
    <row r="606">
      <c r="B606" s="185"/>
    </row>
    <row r="607">
      <c r="B607" s="185"/>
    </row>
    <row r="608">
      <c r="B608" s="185"/>
    </row>
    <row r="609">
      <c r="B609" s="185"/>
    </row>
    <row r="610">
      <c r="B610" s="185"/>
    </row>
    <row r="611">
      <c r="B611" s="185"/>
    </row>
    <row r="612">
      <c r="B612" s="185"/>
    </row>
    <row r="613">
      <c r="B613" s="185"/>
    </row>
    <row r="614">
      <c r="B614" s="185"/>
    </row>
    <row r="615">
      <c r="B615" s="185"/>
    </row>
    <row r="616">
      <c r="B616" s="185"/>
    </row>
    <row r="617">
      <c r="B617" s="185"/>
    </row>
    <row r="618">
      <c r="B618" s="185"/>
    </row>
    <row r="619">
      <c r="B619" s="185"/>
    </row>
    <row r="620">
      <c r="B620" s="185"/>
    </row>
    <row r="621">
      <c r="B621" s="185"/>
    </row>
    <row r="622">
      <c r="B622" s="185"/>
    </row>
    <row r="623">
      <c r="B623" s="185"/>
    </row>
    <row r="624">
      <c r="B624" s="185"/>
    </row>
    <row r="625">
      <c r="B625" s="185"/>
    </row>
    <row r="626">
      <c r="B626" s="185"/>
    </row>
    <row r="627">
      <c r="B627" s="185"/>
    </row>
    <row r="628">
      <c r="B628" s="185"/>
    </row>
    <row r="629">
      <c r="B629" s="185"/>
    </row>
    <row r="630">
      <c r="B630" s="185"/>
    </row>
    <row r="631">
      <c r="B631" s="185"/>
    </row>
    <row r="632">
      <c r="B632" s="185"/>
    </row>
    <row r="633">
      <c r="B633" s="185"/>
    </row>
    <row r="634">
      <c r="B634" s="185"/>
    </row>
    <row r="635">
      <c r="B635" s="185"/>
    </row>
    <row r="636">
      <c r="B636" s="185"/>
    </row>
    <row r="637">
      <c r="B637" s="185"/>
    </row>
    <row r="638">
      <c r="B638" s="185"/>
    </row>
    <row r="639">
      <c r="B639" s="185"/>
    </row>
    <row r="640">
      <c r="B640" s="185"/>
    </row>
    <row r="641">
      <c r="B641" s="185"/>
    </row>
    <row r="642">
      <c r="B642" s="185"/>
    </row>
    <row r="643">
      <c r="B643" s="185"/>
    </row>
    <row r="644">
      <c r="B644" s="185"/>
    </row>
    <row r="645">
      <c r="B645" s="185"/>
    </row>
    <row r="646">
      <c r="B646" s="185"/>
    </row>
    <row r="647">
      <c r="B647" s="185"/>
    </row>
    <row r="648">
      <c r="B648" s="185"/>
    </row>
    <row r="649">
      <c r="B649" s="185"/>
    </row>
    <row r="650">
      <c r="B650" s="185"/>
    </row>
    <row r="651">
      <c r="B651" s="185"/>
    </row>
    <row r="652">
      <c r="B652" s="185"/>
    </row>
    <row r="653">
      <c r="B653" s="185"/>
    </row>
    <row r="654">
      <c r="B654" s="185"/>
    </row>
    <row r="655">
      <c r="B655" s="185"/>
    </row>
    <row r="656">
      <c r="B656" s="185"/>
    </row>
    <row r="657">
      <c r="B657" s="185"/>
    </row>
    <row r="658">
      <c r="B658" s="185"/>
    </row>
    <row r="659">
      <c r="B659" s="185"/>
    </row>
    <row r="660">
      <c r="B660" s="185"/>
    </row>
    <row r="661">
      <c r="B661" s="185"/>
    </row>
    <row r="662">
      <c r="B662" s="185"/>
    </row>
    <row r="663">
      <c r="B663" s="185"/>
    </row>
    <row r="664">
      <c r="B664" s="185"/>
    </row>
    <row r="665">
      <c r="B665" s="185"/>
    </row>
    <row r="666">
      <c r="B666" s="185"/>
    </row>
    <row r="667">
      <c r="B667" s="185"/>
    </row>
    <row r="668">
      <c r="B668" s="185"/>
    </row>
    <row r="669">
      <c r="B669" s="185"/>
    </row>
    <row r="670">
      <c r="B670" s="185"/>
    </row>
    <row r="671">
      <c r="B671" s="185"/>
    </row>
    <row r="672">
      <c r="B672" s="185"/>
    </row>
    <row r="673">
      <c r="B673" s="185"/>
    </row>
    <row r="674">
      <c r="B674" s="185"/>
    </row>
    <row r="675">
      <c r="B675" s="185"/>
    </row>
    <row r="676">
      <c r="B676" s="185"/>
    </row>
    <row r="677">
      <c r="B677" s="185"/>
    </row>
    <row r="678">
      <c r="B678" s="185"/>
    </row>
    <row r="679">
      <c r="B679" s="185"/>
    </row>
    <row r="680">
      <c r="B680" s="185"/>
    </row>
    <row r="681">
      <c r="B681" s="185"/>
    </row>
    <row r="682">
      <c r="B682" s="185"/>
    </row>
    <row r="683">
      <c r="B683" s="185"/>
    </row>
    <row r="684">
      <c r="B684" s="185"/>
    </row>
    <row r="685">
      <c r="B685" s="185"/>
    </row>
    <row r="686">
      <c r="B686" s="185"/>
    </row>
    <row r="687">
      <c r="B687" s="185"/>
    </row>
    <row r="688">
      <c r="B688" s="185"/>
    </row>
    <row r="689">
      <c r="B689" s="185"/>
    </row>
    <row r="690">
      <c r="B690" s="185"/>
    </row>
    <row r="691">
      <c r="B691" s="185"/>
    </row>
    <row r="692">
      <c r="B692" s="185"/>
    </row>
    <row r="693">
      <c r="B693" s="185"/>
    </row>
    <row r="694">
      <c r="B694" s="185"/>
    </row>
    <row r="695">
      <c r="B695" s="185"/>
    </row>
    <row r="696">
      <c r="B696" s="185"/>
    </row>
    <row r="697">
      <c r="B697" s="185"/>
    </row>
    <row r="698">
      <c r="B698" s="185"/>
    </row>
    <row r="699">
      <c r="B699" s="185"/>
    </row>
    <row r="700">
      <c r="B700" s="185"/>
    </row>
    <row r="701">
      <c r="B701" s="185"/>
    </row>
    <row r="702">
      <c r="B702" s="185"/>
    </row>
    <row r="703">
      <c r="B703" s="185"/>
    </row>
    <row r="704">
      <c r="B704" s="185"/>
    </row>
    <row r="705">
      <c r="B705" s="185"/>
    </row>
    <row r="706">
      <c r="B706" s="185"/>
    </row>
    <row r="707">
      <c r="B707" s="185"/>
    </row>
    <row r="708">
      <c r="B708" s="185"/>
    </row>
    <row r="709">
      <c r="B709" s="185"/>
    </row>
    <row r="710">
      <c r="B710" s="185"/>
    </row>
    <row r="711">
      <c r="B711" s="185"/>
    </row>
    <row r="712">
      <c r="B712" s="185"/>
    </row>
    <row r="713">
      <c r="B713" s="185"/>
    </row>
    <row r="714">
      <c r="B714" s="185"/>
    </row>
    <row r="715">
      <c r="B715" s="185"/>
    </row>
    <row r="716">
      <c r="B716" s="185"/>
    </row>
    <row r="717">
      <c r="B717" s="185"/>
    </row>
    <row r="718">
      <c r="B718" s="185"/>
    </row>
    <row r="719">
      <c r="B719" s="185"/>
    </row>
    <row r="720">
      <c r="B720" s="185"/>
    </row>
    <row r="721">
      <c r="B721" s="185"/>
    </row>
    <row r="722">
      <c r="B722" s="185"/>
    </row>
    <row r="723">
      <c r="B723" s="185"/>
    </row>
    <row r="724">
      <c r="B724" s="185"/>
    </row>
    <row r="725">
      <c r="B725" s="185"/>
    </row>
    <row r="726">
      <c r="B726" s="185"/>
    </row>
    <row r="727">
      <c r="B727" s="185"/>
    </row>
    <row r="728">
      <c r="B728" s="185"/>
    </row>
    <row r="729">
      <c r="B729" s="185"/>
    </row>
    <row r="730">
      <c r="B730" s="185"/>
    </row>
    <row r="731">
      <c r="B731" s="185"/>
    </row>
    <row r="732">
      <c r="B732" s="185"/>
    </row>
    <row r="733">
      <c r="B733" s="185"/>
    </row>
    <row r="734">
      <c r="B734" s="185"/>
    </row>
    <row r="735">
      <c r="B735" s="185"/>
    </row>
    <row r="736">
      <c r="B736" s="185"/>
    </row>
    <row r="737">
      <c r="B737" s="185"/>
    </row>
    <row r="738">
      <c r="B738" s="185"/>
    </row>
    <row r="739">
      <c r="B739" s="185"/>
    </row>
    <row r="740">
      <c r="B740" s="185"/>
    </row>
    <row r="741">
      <c r="B741" s="185"/>
    </row>
    <row r="742">
      <c r="B742" s="185"/>
    </row>
    <row r="743">
      <c r="B743" s="185"/>
    </row>
    <row r="744">
      <c r="B744" s="185"/>
    </row>
    <row r="745">
      <c r="B745" s="185"/>
    </row>
    <row r="746">
      <c r="B746" s="185"/>
    </row>
    <row r="747">
      <c r="B747" s="185"/>
    </row>
    <row r="748">
      <c r="B748" s="185"/>
    </row>
    <row r="749">
      <c r="B749" s="185"/>
    </row>
    <row r="750">
      <c r="B750" s="185"/>
    </row>
    <row r="751">
      <c r="B751" s="185"/>
    </row>
    <row r="752">
      <c r="B752" s="185"/>
    </row>
    <row r="753">
      <c r="B753" s="185"/>
    </row>
    <row r="754">
      <c r="B754" s="185"/>
    </row>
    <row r="755">
      <c r="B755" s="185"/>
    </row>
    <row r="756">
      <c r="B756" s="185"/>
    </row>
    <row r="757">
      <c r="B757" s="185"/>
    </row>
    <row r="758">
      <c r="B758" s="185"/>
    </row>
    <row r="759">
      <c r="B759" s="185"/>
    </row>
    <row r="760">
      <c r="B760" s="185"/>
    </row>
    <row r="761">
      <c r="B761" s="185"/>
    </row>
    <row r="762">
      <c r="B762" s="185"/>
    </row>
    <row r="763">
      <c r="B763" s="185"/>
    </row>
    <row r="764">
      <c r="B764" s="185"/>
    </row>
    <row r="765">
      <c r="B765" s="185"/>
    </row>
    <row r="766">
      <c r="B766" s="185"/>
    </row>
    <row r="767">
      <c r="B767" s="185"/>
    </row>
    <row r="768">
      <c r="B768" s="185"/>
    </row>
    <row r="769">
      <c r="B769" s="185"/>
    </row>
    <row r="770">
      <c r="B770" s="185"/>
    </row>
    <row r="771">
      <c r="B771" s="185"/>
    </row>
    <row r="772">
      <c r="B772" s="185"/>
    </row>
    <row r="773">
      <c r="B773" s="185"/>
    </row>
    <row r="774">
      <c r="B774" s="185"/>
    </row>
    <row r="775">
      <c r="B775" s="185"/>
    </row>
    <row r="776">
      <c r="B776" s="185"/>
    </row>
    <row r="777">
      <c r="B777" s="185"/>
    </row>
    <row r="778">
      <c r="B778" s="185"/>
    </row>
    <row r="779">
      <c r="B779" s="185"/>
    </row>
    <row r="780">
      <c r="B780" s="185"/>
    </row>
    <row r="781">
      <c r="B781" s="185"/>
    </row>
    <row r="782">
      <c r="B782" s="185"/>
    </row>
    <row r="783">
      <c r="B783" s="185"/>
    </row>
    <row r="784">
      <c r="B784" s="185"/>
    </row>
    <row r="785">
      <c r="B785" s="185"/>
    </row>
    <row r="786">
      <c r="B786" s="185"/>
    </row>
    <row r="787">
      <c r="B787" s="185"/>
    </row>
    <row r="788">
      <c r="B788" s="185"/>
    </row>
    <row r="789">
      <c r="B789" s="185"/>
    </row>
    <row r="790">
      <c r="B790" s="185"/>
    </row>
    <row r="791">
      <c r="B791" s="185"/>
    </row>
    <row r="792">
      <c r="B792" s="185"/>
    </row>
    <row r="793">
      <c r="B793" s="185"/>
    </row>
    <row r="794">
      <c r="B794" s="185"/>
    </row>
    <row r="795">
      <c r="B795" s="185"/>
    </row>
    <row r="796">
      <c r="B796" s="185"/>
    </row>
    <row r="797">
      <c r="B797" s="185"/>
    </row>
    <row r="798">
      <c r="B798" s="185"/>
    </row>
    <row r="799">
      <c r="B799" s="185"/>
    </row>
    <row r="800">
      <c r="B800" s="185"/>
    </row>
    <row r="801">
      <c r="B801" s="185"/>
    </row>
    <row r="802">
      <c r="B802" s="185"/>
    </row>
    <row r="803">
      <c r="B803" s="185"/>
    </row>
    <row r="804">
      <c r="B804" s="185"/>
    </row>
    <row r="805">
      <c r="B805" s="185"/>
    </row>
    <row r="806">
      <c r="B806" s="185"/>
    </row>
    <row r="807">
      <c r="B807" s="185"/>
    </row>
    <row r="808">
      <c r="B808" s="185"/>
    </row>
    <row r="809">
      <c r="B809" s="185"/>
    </row>
    <row r="810">
      <c r="B810" s="185"/>
    </row>
    <row r="811">
      <c r="B811" s="185"/>
    </row>
    <row r="812">
      <c r="B812" s="185"/>
    </row>
    <row r="813">
      <c r="B813" s="185"/>
    </row>
    <row r="814">
      <c r="B814" s="185"/>
    </row>
    <row r="815">
      <c r="B815" s="185"/>
    </row>
    <row r="816">
      <c r="B816" s="185"/>
    </row>
    <row r="817">
      <c r="B817" s="185"/>
    </row>
    <row r="818">
      <c r="B818" s="185"/>
    </row>
    <row r="819">
      <c r="B819" s="185"/>
    </row>
    <row r="820">
      <c r="B820" s="185"/>
    </row>
    <row r="821">
      <c r="B821" s="185"/>
    </row>
    <row r="822">
      <c r="B822" s="185"/>
    </row>
    <row r="823">
      <c r="B823" s="185"/>
    </row>
    <row r="824">
      <c r="B824" s="185"/>
    </row>
    <row r="825">
      <c r="B825" s="185"/>
    </row>
    <row r="826">
      <c r="B826" s="185"/>
    </row>
    <row r="827">
      <c r="B827" s="185"/>
    </row>
    <row r="828">
      <c r="B828" s="185"/>
    </row>
    <row r="829">
      <c r="B829" s="185"/>
    </row>
    <row r="830">
      <c r="B830" s="185"/>
    </row>
    <row r="831">
      <c r="B831" s="185"/>
    </row>
    <row r="832">
      <c r="B832" s="185"/>
    </row>
    <row r="833">
      <c r="B833" s="185"/>
    </row>
    <row r="834">
      <c r="B834" s="185"/>
    </row>
    <row r="835">
      <c r="B835" s="185"/>
    </row>
    <row r="836">
      <c r="B836" s="185"/>
    </row>
    <row r="837">
      <c r="B837" s="185"/>
    </row>
    <row r="838">
      <c r="B838" s="185"/>
    </row>
    <row r="839">
      <c r="B839" s="185"/>
    </row>
    <row r="840">
      <c r="B840" s="185"/>
    </row>
    <row r="841">
      <c r="B841" s="185"/>
    </row>
    <row r="842">
      <c r="B842" s="185"/>
    </row>
    <row r="843">
      <c r="B843" s="185"/>
    </row>
    <row r="844">
      <c r="B844" s="185"/>
    </row>
    <row r="845">
      <c r="B845" s="185"/>
    </row>
    <row r="846">
      <c r="B846" s="185"/>
    </row>
    <row r="847">
      <c r="B847" s="185"/>
    </row>
    <row r="848">
      <c r="B848" s="185"/>
    </row>
    <row r="849">
      <c r="B849" s="185"/>
    </row>
    <row r="850">
      <c r="B850" s="185"/>
    </row>
    <row r="851">
      <c r="B851" s="185"/>
    </row>
    <row r="852">
      <c r="B852" s="185"/>
    </row>
    <row r="853">
      <c r="B853" s="185"/>
    </row>
    <row r="854">
      <c r="B854" s="185"/>
    </row>
    <row r="855">
      <c r="B855" s="185"/>
    </row>
    <row r="856">
      <c r="B856" s="185"/>
    </row>
    <row r="857">
      <c r="B857" s="185"/>
    </row>
    <row r="858">
      <c r="B858" s="185"/>
    </row>
    <row r="859">
      <c r="B859" s="185"/>
    </row>
    <row r="860">
      <c r="B860" s="185"/>
    </row>
    <row r="861">
      <c r="B861" s="185"/>
    </row>
    <row r="862">
      <c r="B862" s="185"/>
    </row>
    <row r="863">
      <c r="B863" s="185"/>
    </row>
    <row r="864">
      <c r="B864" s="185"/>
    </row>
    <row r="865">
      <c r="B865" s="185"/>
    </row>
    <row r="866">
      <c r="B866" s="185"/>
    </row>
    <row r="867">
      <c r="B867" s="185"/>
    </row>
    <row r="868">
      <c r="B868" s="185"/>
    </row>
    <row r="869">
      <c r="B869" s="185"/>
    </row>
    <row r="870">
      <c r="B870" s="185"/>
    </row>
    <row r="871">
      <c r="B871" s="185"/>
    </row>
    <row r="872">
      <c r="B872" s="185"/>
    </row>
    <row r="873">
      <c r="B873" s="185"/>
    </row>
    <row r="874">
      <c r="B874" s="185"/>
    </row>
    <row r="875">
      <c r="B875" s="185"/>
    </row>
    <row r="876">
      <c r="B876" s="185"/>
    </row>
    <row r="877">
      <c r="B877" s="185"/>
    </row>
    <row r="878">
      <c r="B878" s="185"/>
    </row>
    <row r="879">
      <c r="B879" s="185"/>
    </row>
    <row r="880">
      <c r="B880" s="185"/>
    </row>
    <row r="881">
      <c r="B881" s="185"/>
    </row>
    <row r="882">
      <c r="B882" s="185"/>
    </row>
    <row r="883">
      <c r="B883" s="185"/>
    </row>
    <row r="884">
      <c r="B884" s="185"/>
    </row>
    <row r="885">
      <c r="B885" s="185"/>
    </row>
    <row r="886">
      <c r="B886" s="185"/>
    </row>
    <row r="887">
      <c r="B887" s="185"/>
    </row>
    <row r="888">
      <c r="B888" s="185"/>
    </row>
    <row r="889">
      <c r="B889" s="185"/>
    </row>
    <row r="890">
      <c r="B890" s="185"/>
    </row>
    <row r="891">
      <c r="B891" s="185"/>
    </row>
    <row r="892">
      <c r="B892" s="185"/>
    </row>
    <row r="893">
      <c r="B893" s="185"/>
    </row>
    <row r="894">
      <c r="B894" s="185"/>
    </row>
    <row r="895">
      <c r="B895" s="185"/>
    </row>
    <row r="896">
      <c r="B896" s="185"/>
    </row>
    <row r="897">
      <c r="B897" s="185"/>
    </row>
    <row r="898">
      <c r="B898" s="185"/>
    </row>
    <row r="899">
      <c r="B899" s="185"/>
    </row>
    <row r="900">
      <c r="B900" s="185"/>
    </row>
    <row r="901">
      <c r="B901" s="185"/>
    </row>
    <row r="902">
      <c r="B902" s="185"/>
    </row>
    <row r="903">
      <c r="B903" s="185"/>
    </row>
    <row r="904">
      <c r="B904" s="185"/>
    </row>
    <row r="905">
      <c r="B905" s="185"/>
    </row>
    <row r="906">
      <c r="B906" s="185"/>
    </row>
    <row r="907">
      <c r="B907" s="185"/>
    </row>
    <row r="908">
      <c r="B908" s="185"/>
    </row>
    <row r="909">
      <c r="B909" s="185"/>
    </row>
    <row r="910">
      <c r="B910" s="185"/>
    </row>
    <row r="911">
      <c r="B911" s="185"/>
    </row>
    <row r="912">
      <c r="B912" s="185"/>
    </row>
    <row r="913">
      <c r="B913" s="185"/>
    </row>
    <row r="914">
      <c r="B914" s="185"/>
    </row>
    <row r="915">
      <c r="B915" s="185"/>
    </row>
    <row r="916">
      <c r="B916" s="185"/>
    </row>
    <row r="917">
      <c r="B917" s="185"/>
    </row>
    <row r="918">
      <c r="B918" s="185"/>
    </row>
    <row r="919">
      <c r="B919" s="185"/>
    </row>
    <row r="920">
      <c r="B920" s="185"/>
    </row>
    <row r="921">
      <c r="B921" s="185"/>
    </row>
    <row r="922">
      <c r="B922" s="185"/>
    </row>
    <row r="923">
      <c r="B923" s="185"/>
    </row>
    <row r="924">
      <c r="B924" s="185"/>
    </row>
    <row r="925">
      <c r="B925" s="185"/>
    </row>
    <row r="926">
      <c r="B926" s="185"/>
    </row>
    <row r="927">
      <c r="B927" s="185"/>
    </row>
    <row r="928">
      <c r="B928" s="185"/>
    </row>
    <row r="929">
      <c r="B929" s="185"/>
    </row>
    <row r="930">
      <c r="B930" s="185"/>
    </row>
    <row r="931">
      <c r="B931" s="185"/>
    </row>
    <row r="932">
      <c r="B932" s="185"/>
    </row>
    <row r="933">
      <c r="B933" s="185"/>
    </row>
    <row r="934">
      <c r="B934" s="185"/>
    </row>
    <row r="935">
      <c r="B935" s="185"/>
    </row>
    <row r="936">
      <c r="B936" s="185"/>
    </row>
    <row r="937">
      <c r="B937" s="185"/>
    </row>
    <row r="938">
      <c r="B938" s="185"/>
    </row>
    <row r="939">
      <c r="B939" s="185"/>
    </row>
    <row r="940">
      <c r="B940" s="185"/>
    </row>
    <row r="941">
      <c r="B941" s="185"/>
    </row>
    <row r="942">
      <c r="B942" s="185"/>
    </row>
    <row r="943">
      <c r="B943" s="185"/>
    </row>
    <row r="944">
      <c r="B944" s="185"/>
    </row>
    <row r="945">
      <c r="B945" s="185"/>
    </row>
    <row r="946">
      <c r="B946" s="185"/>
    </row>
    <row r="947">
      <c r="B947" s="185"/>
    </row>
    <row r="948">
      <c r="B948" s="185"/>
    </row>
    <row r="949">
      <c r="B949" s="185"/>
    </row>
    <row r="950">
      <c r="B950" s="185"/>
    </row>
    <row r="951">
      <c r="B951" s="185"/>
    </row>
    <row r="952">
      <c r="B952" s="185"/>
    </row>
    <row r="953">
      <c r="B953" s="185"/>
    </row>
    <row r="954">
      <c r="B954" s="185"/>
    </row>
    <row r="955">
      <c r="B955" s="185"/>
    </row>
    <row r="956">
      <c r="B956" s="185"/>
    </row>
    <row r="957">
      <c r="B957" s="185"/>
    </row>
    <row r="958">
      <c r="B958" s="185"/>
    </row>
    <row r="959">
      <c r="B959" s="185"/>
    </row>
    <row r="960">
      <c r="B960" s="185"/>
    </row>
    <row r="961">
      <c r="B961" s="185"/>
    </row>
    <row r="962">
      <c r="B962" s="185"/>
    </row>
    <row r="963">
      <c r="B963" s="185"/>
    </row>
    <row r="964">
      <c r="B964" s="185"/>
    </row>
    <row r="965">
      <c r="B965" s="185"/>
    </row>
    <row r="966">
      <c r="B966" s="185"/>
    </row>
    <row r="967">
      <c r="B967" s="185"/>
    </row>
    <row r="968">
      <c r="B968" s="185"/>
    </row>
    <row r="969">
      <c r="B969" s="185"/>
    </row>
    <row r="970">
      <c r="B970" s="185"/>
    </row>
    <row r="971">
      <c r="B971" s="185"/>
    </row>
    <row r="972">
      <c r="B972" s="185"/>
    </row>
    <row r="973">
      <c r="B973" s="185"/>
    </row>
    <row r="974">
      <c r="B974" s="185"/>
    </row>
    <row r="975">
      <c r="B975" s="185"/>
    </row>
    <row r="976">
      <c r="B976" s="185"/>
    </row>
    <row r="977">
      <c r="B977" s="185"/>
    </row>
    <row r="978">
      <c r="B978" s="185"/>
    </row>
    <row r="979">
      <c r="B979" s="185"/>
    </row>
    <row r="980">
      <c r="B980" s="185"/>
    </row>
    <row r="981">
      <c r="B981" s="185"/>
    </row>
    <row r="982">
      <c r="B982" s="185"/>
    </row>
    <row r="983">
      <c r="B983" s="185"/>
    </row>
    <row r="984">
      <c r="B984" s="185"/>
    </row>
    <row r="985">
      <c r="B985" s="185"/>
    </row>
    <row r="986">
      <c r="B986" s="185"/>
    </row>
    <row r="987">
      <c r="B987" s="185"/>
    </row>
    <row r="988">
      <c r="B988" s="185"/>
    </row>
    <row r="989">
      <c r="B989" s="185"/>
    </row>
    <row r="990">
      <c r="B990" s="185"/>
    </row>
    <row r="991">
      <c r="B991" s="185"/>
    </row>
    <row r="992">
      <c r="B992" s="185"/>
    </row>
    <row r="993">
      <c r="B993" s="185"/>
    </row>
    <row r="994">
      <c r="B994" s="185"/>
    </row>
    <row r="995">
      <c r="B995" s="185"/>
    </row>
    <row r="996">
      <c r="B996" s="185"/>
    </row>
    <row r="997">
      <c r="B997" s="185"/>
    </row>
    <row r="998">
      <c r="B998" s="185"/>
    </row>
    <row r="999">
      <c r="B999" s="185"/>
    </row>
    <row r="1000">
      <c r="B1000" s="185"/>
    </row>
    <row r="1001">
      <c r="B1001" s="185"/>
    </row>
  </sheetData>
  <autoFilter ref="$A$1:$Z$100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5" max="9" width="12.63"/>
    <col customWidth="1" min="10" max="10" width="27.13"/>
  </cols>
  <sheetData>
    <row r="1">
      <c r="A1" s="99" t="s">
        <v>48</v>
      </c>
      <c r="B1" s="99" t="s">
        <v>5</v>
      </c>
      <c r="C1" s="99" t="s">
        <v>3</v>
      </c>
      <c r="D1" s="99" t="s">
        <v>1932</v>
      </c>
      <c r="E1" s="116" t="s">
        <v>1934</v>
      </c>
      <c r="F1" s="116" t="s">
        <v>1935</v>
      </c>
      <c r="G1" s="116" t="s">
        <v>1936</v>
      </c>
      <c r="H1" s="116" t="s">
        <v>1937</v>
      </c>
      <c r="I1" s="116" t="s">
        <v>1938</v>
      </c>
      <c r="J1" s="186" t="s">
        <v>2048</v>
      </c>
      <c r="K1" s="114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</row>
    <row r="2">
      <c r="A2" s="188">
        <v>46160.0</v>
      </c>
      <c r="B2" s="116" t="s">
        <v>2049</v>
      </c>
      <c r="C2" s="116" t="s">
        <v>1432</v>
      </c>
      <c r="D2" s="116">
        <v>2.0</v>
      </c>
      <c r="E2" s="187"/>
      <c r="F2" s="187"/>
      <c r="G2" s="187"/>
      <c r="H2" s="187"/>
      <c r="I2" s="187"/>
      <c r="J2" s="114">
        <f>SUM(D2:D36)</f>
        <v>60</v>
      </c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</row>
    <row r="3">
      <c r="A3" s="188">
        <v>46164.0</v>
      </c>
      <c r="B3" s="116" t="s">
        <v>74</v>
      </c>
      <c r="C3" s="116" t="s">
        <v>1432</v>
      </c>
      <c r="D3" s="116">
        <v>9.0</v>
      </c>
      <c r="E3" s="116"/>
      <c r="F3" s="116"/>
      <c r="G3" s="116"/>
      <c r="H3" s="116"/>
      <c r="I3" s="116"/>
      <c r="J3" s="116"/>
    </row>
    <row r="4">
      <c r="A4" s="188">
        <v>46164.0</v>
      </c>
      <c r="B4" s="116" t="s">
        <v>2050</v>
      </c>
      <c r="C4" s="116" t="s">
        <v>1432</v>
      </c>
      <c r="D4" s="116">
        <v>14.0</v>
      </c>
      <c r="E4" s="116"/>
      <c r="F4" s="116"/>
      <c r="G4" s="116"/>
      <c r="H4" s="116"/>
      <c r="I4" s="116"/>
      <c r="J4" s="116"/>
    </row>
    <row r="5">
      <c r="A5" s="188">
        <v>46164.0</v>
      </c>
      <c r="B5" s="116" t="s">
        <v>81</v>
      </c>
      <c r="C5" s="116" t="s">
        <v>1432</v>
      </c>
      <c r="D5" s="116">
        <v>15.0</v>
      </c>
      <c r="E5" s="116"/>
      <c r="F5" s="116"/>
      <c r="G5" s="116"/>
      <c r="H5" s="116"/>
      <c r="I5" s="116"/>
      <c r="J5" s="116"/>
    </row>
    <row r="6">
      <c r="A6" s="188">
        <v>46168.0</v>
      </c>
      <c r="B6" s="116" t="s">
        <v>81</v>
      </c>
      <c r="C6" s="116" t="s">
        <v>1432</v>
      </c>
      <c r="D6" s="116">
        <v>10.0</v>
      </c>
      <c r="E6" s="116"/>
      <c r="F6" s="116"/>
      <c r="G6" s="116"/>
      <c r="H6" s="116"/>
      <c r="I6" s="116"/>
      <c r="J6" s="116"/>
    </row>
    <row r="7">
      <c r="A7" s="188">
        <v>46168.0</v>
      </c>
      <c r="B7" s="116" t="s">
        <v>74</v>
      </c>
      <c r="C7" s="116" t="s">
        <v>1432</v>
      </c>
      <c r="D7" s="116">
        <v>10.0</v>
      </c>
      <c r="E7" s="116"/>
      <c r="F7" s="116"/>
      <c r="G7" s="116"/>
      <c r="H7" s="116"/>
      <c r="I7" s="116"/>
      <c r="J7" s="116"/>
    </row>
    <row r="8">
      <c r="A8" s="188"/>
      <c r="B8" s="116"/>
      <c r="C8" s="116"/>
      <c r="D8" s="116"/>
      <c r="E8" s="116"/>
      <c r="F8" s="116"/>
      <c r="G8" s="116"/>
      <c r="H8" s="116"/>
      <c r="I8" s="116"/>
      <c r="J8" s="116"/>
    </row>
    <row r="9">
      <c r="A9" s="188"/>
      <c r="D9" s="15"/>
      <c r="J9" s="15"/>
    </row>
    <row r="10">
      <c r="A10" s="188"/>
      <c r="D10" s="15"/>
      <c r="J10" s="15"/>
    </row>
    <row r="11">
      <c r="D11" s="15"/>
      <c r="J11" s="15"/>
    </row>
    <row r="12">
      <c r="D12" s="15"/>
      <c r="J12" s="15"/>
    </row>
    <row r="13">
      <c r="D13" s="15"/>
      <c r="J13" s="15"/>
    </row>
    <row r="14">
      <c r="D14" s="15"/>
      <c r="J14" s="15"/>
    </row>
    <row r="15">
      <c r="D15" s="15"/>
      <c r="J15" s="15"/>
    </row>
    <row r="16">
      <c r="D16" s="15"/>
      <c r="J16" s="15"/>
    </row>
    <row r="17">
      <c r="D17" s="15"/>
      <c r="J17" s="15"/>
    </row>
    <row r="18">
      <c r="D18" s="15"/>
      <c r="J18" s="15"/>
    </row>
    <row r="19">
      <c r="D19" s="15"/>
      <c r="J19" s="15"/>
    </row>
    <row r="20">
      <c r="D20" s="15"/>
      <c r="J20" s="15"/>
    </row>
    <row r="21">
      <c r="D21" s="15"/>
      <c r="J21" s="15"/>
    </row>
    <row r="22">
      <c r="D22" s="15"/>
      <c r="J22" s="15"/>
    </row>
    <row r="23">
      <c r="D23" s="15"/>
      <c r="J23" s="15"/>
    </row>
    <row r="24">
      <c r="D24" s="15"/>
      <c r="J24" s="15"/>
    </row>
    <row r="25">
      <c r="D25" s="15"/>
      <c r="J25" s="15"/>
    </row>
    <row r="26">
      <c r="D26" s="15"/>
      <c r="J26" s="15"/>
    </row>
    <row r="27">
      <c r="D27" s="15"/>
      <c r="J27" s="15"/>
    </row>
    <row r="28">
      <c r="D28" s="15"/>
      <c r="J28" s="15"/>
    </row>
    <row r="29">
      <c r="D29" s="15"/>
      <c r="J29" s="15"/>
    </row>
    <row r="30">
      <c r="D30" s="15"/>
      <c r="J30" s="15"/>
    </row>
    <row r="31">
      <c r="D31" s="15"/>
      <c r="J31" s="15"/>
    </row>
    <row r="32">
      <c r="D32" s="15"/>
      <c r="J32" s="15"/>
    </row>
    <row r="33">
      <c r="D33" s="15"/>
      <c r="J33" s="15"/>
    </row>
    <row r="34">
      <c r="D34" s="15"/>
      <c r="J34" s="15"/>
    </row>
    <row r="35">
      <c r="D35" s="15"/>
      <c r="J35" s="15"/>
    </row>
    <row r="36">
      <c r="D36" s="15"/>
      <c r="J36" s="15"/>
    </row>
    <row r="37">
      <c r="D37" s="15"/>
      <c r="J37" s="15"/>
    </row>
    <row r="38">
      <c r="D38" s="15"/>
      <c r="J38" s="15"/>
    </row>
    <row r="39">
      <c r="D39" s="15"/>
      <c r="J39" s="15"/>
    </row>
    <row r="40">
      <c r="D40" s="15"/>
      <c r="J40" s="15"/>
    </row>
    <row r="41">
      <c r="D41" s="15"/>
      <c r="J41" s="15"/>
    </row>
    <row r="42">
      <c r="D42" s="15"/>
      <c r="J42" s="15"/>
    </row>
    <row r="43">
      <c r="D43" s="15"/>
      <c r="J43" s="15"/>
    </row>
    <row r="44">
      <c r="D44" s="15"/>
      <c r="J44" s="15"/>
    </row>
    <row r="45">
      <c r="D45" s="15"/>
      <c r="J45" s="15"/>
    </row>
    <row r="46">
      <c r="D46" s="15"/>
      <c r="J46" s="15"/>
    </row>
    <row r="47">
      <c r="D47" s="15"/>
      <c r="J47" s="15"/>
    </row>
    <row r="48">
      <c r="D48" s="15"/>
      <c r="J48" s="15"/>
    </row>
    <row r="49">
      <c r="D49" s="15"/>
      <c r="J49" s="15"/>
    </row>
    <row r="50">
      <c r="D50" s="15"/>
      <c r="J50" s="15"/>
    </row>
    <row r="51">
      <c r="D51" s="15"/>
      <c r="J51" s="15"/>
    </row>
    <row r="52">
      <c r="D52" s="15"/>
      <c r="J52" s="15"/>
    </row>
    <row r="53">
      <c r="D53" s="15"/>
      <c r="J53" s="15"/>
    </row>
    <row r="54">
      <c r="D54" s="15"/>
      <c r="J54" s="15"/>
    </row>
    <row r="55">
      <c r="D55" s="15"/>
      <c r="J55" s="15"/>
    </row>
    <row r="56">
      <c r="D56" s="15"/>
      <c r="J56" s="15"/>
    </row>
    <row r="57">
      <c r="D57" s="15"/>
      <c r="J57" s="15"/>
    </row>
    <row r="58">
      <c r="D58" s="15"/>
      <c r="J58" s="15"/>
    </row>
    <row r="59">
      <c r="D59" s="15"/>
      <c r="J59" s="15"/>
    </row>
    <row r="60">
      <c r="D60" s="15"/>
      <c r="J60" s="15"/>
    </row>
    <row r="61">
      <c r="D61" s="15"/>
      <c r="J61" s="15"/>
    </row>
    <row r="62">
      <c r="D62" s="15"/>
      <c r="J62" s="15"/>
    </row>
    <row r="63">
      <c r="D63" s="15"/>
      <c r="J63" s="15"/>
    </row>
    <row r="64">
      <c r="D64" s="15"/>
      <c r="J64" s="15"/>
    </row>
    <row r="65">
      <c r="D65" s="15"/>
      <c r="J65" s="15"/>
    </row>
    <row r="66">
      <c r="D66" s="15"/>
      <c r="J66" s="15"/>
    </row>
    <row r="67">
      <c r="D67" s="15"/>
      <c r="J67" s="15"/>
    </row>
    <row r="68">
      <c r="D68" s="15"/>
      <c r="J68" s="15"/>
    </row>
    <row r="69">
      <c r="D69" s="15"/>
      <c r="J69" s="15"/>
    </row>
    <row r="70">
      <c r="D70" s="15"/>
      <c r="J70" s="15"/>
    </row>
    <row r="71">
      <c r="D71" s="15"/>
      <c r="J71" s="15"/>
    </row>
    <row r="72">
      <c r="D72" s="15"/>
      <c r="J72" s="15"/>
    </row>
    <row r="73">
      <c r="D73" s="15"/>
      <c r="J73" s="15"/>
    </row>
    <row r="74">
      <c r="D74" s="15"/>
      <c r="J74" s="15"/>
    </row>
    <row r="75">
      <c r="D75" s="15"/>
      <c r="J75" s="15"/>
    </row>
    <row r="76">
      <c r="D76" s="15"/>
      <c r="J76" s="15"/>
    </row>
    <row r="77">
      <c r="D77" s="15"/>
      <c r="J77" s="15"/>
    </row>
    <row r="78">
      <c r="D78" s="15"/>
      <c r="J78" s="15"/>
    </row>
    <row r="79">
      <c r="D79" s="15"/>
      <c r="J79" s="15"/>
    </row>
    <row r="80">
      <c r="D80" s="15"/>
      <c r="J80" s="15"/>
    </row>
    <row r="81">
      <c r="D81" s="15"/>
      <c r="J81" s="15"/>
    </row>
    <row r="82">
      <c r="D82" s="15"/>
      <c r="J82" s="15"/>
    </row>
    <row r="83">
      <c r="D83" s="15"/>
      <c r="J83" s="15"/>
    </row>
    <row r="84">
      <c r="D84" s="15"/>
      <c r="J84" s="15"/>
    </row>
    <row r="85">
      <c r="D85" s="15"/>
      <c r="J85" s="15"/>
    </row>
    <row r="86">
      <c r="D86" s="15"/>
      <c r="J86" s="15"/>
    </row>
    <row r="87">
      <c r="D87" s="15"/>
      <c r="J87" s="15"/>
    </row>
    <row r="88">
      <c r="D88" s="15"/>
      <c r="J88" s="15"/>
    </row>
    <row r="89">
      <c r="D89" s="15"/>
      <c r="J89" s="15"/>
    </row>
    <row r="90">
      <c r="D90" s="15"/>
      <c r="J90" s="15"/>
    </row>
    <row r="91">
      <c r="D91" s="15"/>
      <c r="J91" s="15"/>
    </row>
    <row r="92">
      <c r="D92" s="15"/>
      <c r="J92" s="15"/>
    </row>
    <row r="93">
      <c r="D93" s="15"/>
      <c r="J93" s="15"/>
    </row>
    <row r="94">
      <c r="D94" s="15"/>
      <c r="J94" s="15"/>
    </row>
    <row r="95">
      <c r="D95" s="15"/>
      <c r="J95" s="15"/>
    </row>
    <row r="96">
      <c r="D96" s="15"/>
      <c r="J96" s="15"/>
    </row>
    <row r="97">
      <c r="D97" s="15"/>
      <c r="J97" s="15"/>
    </row>
    <row r="98">
      <c r="D98" s="15"/>
      <c r="J98" s="15"/>
    </row>
    <row r="99">
      <c r="D99" s="15"/>
      <c r="J99" s="15"/>
    </row>
    <row r="100">
      <c r="D100" s="15"/>
      <c r="J100" s="15"/>
    </row>
    <row r="101">
      <c r="D101" s="15"/>
      <c r="J101" s="15"/>
    </row>
    <row r="102">
      <c r="D102" s="15"/>
      <c r="J102" s="15"/>
    </row>
    <row r="103">
      <c r="D103" s="15"/>
      <c r="J103" s="15"/>
    </row>
    <row r="104">
      <c r="D104" s="15"/>
      <c r="J104" s="15"/>
    </row>
    <row r="105">
      <c r="D105" s="15"/>
      <c r="J105" s="15"/>
    </row>
    <row r="106">
      <c r="D106" s="15"/>
      <c r="J106" s="15"/>
    </row>
    <row r="107">
      <c r="D107" s="15"/>
      <c r="J107" s="15"/>
    </row>
    <row r="108">
      <c r="D108" s="15"/>
      <c r="J108" s="15"/>
    </row>
    <row r="109">
      <c r="D109" s="15"/>
      <c r="J109" s="15"/>
    </row>
    <row r="110">
      <c r="D110" s="15"/>
      <c r="J110" s="15"/>
    </row>
    <row r="111">
      <c r="D111" s="15"/>
      <c r="J111" s="15"/>
    </row>
    <row r="112">
      <c r="D112" s="15"/>
      <c r="J112" s="15"/>
    </row>
    <row r="113">
      <c r="D113" s="15"/>
      <c r="J113" s="15"/>
    </row>
    <row r="114">
      <c r="D114" s="15"/>
      <c r="J114" s="15"/>
    </row>
    <row r="115">
      <c r="D115" s="15"/>
      <c r="J115" s="15"/>
    </row>
    <row r="116">
      <c r="D116" s="15"/>
      <c r="J116" s="15"/>
    </row>
    <row r="117">
      <c r="D117" s="15"/>
      <c r="J117" s="15"/>
    </row>
    <row r="118">
      <c r="D118" s="15"/>
      <c r="J118" s="15"/>
    </row>
    <row r="119">
      <c r="D119" s="15"/>
      <c r="J119" s="15"/>
    </row>
    <row r="120">
      <c r="D120" s="15"/>
      <c r="J120" s="15"/>
    </row>
    <row r="121">
      <c r="D121" s="15"/>
      <c r="J121" s="15"/>
    </row>
    <row r="122">
      <c r="D122" s="15"/>
      <c r="J122" s="15"/>
    </row>
    <row r="123">
      <c r="D123" s="15"/>
      <c r="J123" s="15"/>
    </row>
    <row r="124">
      <c r="D124" s="15"/>
      <c r="J124" s="15"/>
    </row>
    <row r="125">
      <c r="D125" s="15"/>
      <c r="J125" s="15"/>
    </row>
    <row r="126">
      <c r="D126" s="15"/>
      <c r="J126" s="15"/>
    </row>
    <row r="127">
      <c r="D127" s="15"/>
      <c r="J127" s="15"/>
    </row>
    <row r="128">
      <c r="D128" s="15"/>
      <c r="J128" s="15"/>
    </row>
    <row r="129">
      <c r="D129" s="15"/>
      <c r="J129" s="15"/>
    </row>
    <row r="130">
      <c r="D130" s="15"/>
      <c r="J130" s="15"/>
    </row>
    <row r="131">
      <c r="D131" s="15"/>
      <c r="J131" s="15"/>
    </row>
    <row r="132">
      <c r="D132" s="15"/>
      <c r="J132" s="15"/>
    </row>
    <row r="133">
      <c r="D133" s="15"/>
      <c r="J133" s="15"/>
    </row>
    <row r="134">
      <c r="D134" s="15"/>
      <c r="J134" s="15"/>
    </row>
    <row r="135">
      <c r="D135" s="15"/>
      <c r="J135" s="15"/>
    </row>
    <row r="136">
      <c r="D136" s="15"/>
      <c r="J136" s="15"/>
    </row>
    <row r="137">
      <c r="D137" s="15"/>
      <c r="J137" s="15"/>
    </row>
    <row r="138">
      <c r="D138" s="15"/>
      <c r="J138" s="15"/>
    </row>
    <row r="139">
      <c r="D139" s="15"/>
      <c r="J139" s="15"/>
    </row>
    <row r="140">
      <c r="D140" s="15"/>
      <c r="J140" s="15"/>
    </row>
    <row r="141">
      <c r="D141" s="15"/>
      <c r="J141" s="15"/>
    </row>
    <row r="142">
      <c r="D142" s="15"/>
      <c r="J142" s="15"/>
    </row>
    <row r="143">
      <c r="D143" s="15"/>
      <c r="J143" s="15"/>
    </row>
    <row r="144">
      <c r="D144" s="15"/>
      <c r="J144" s="15"/>
    </row>
    <row r="145">
      <c r="D145" s="15"/>
      <c r="J145" s="15"/>
    </row>
    <row r="146">
      <c r="D146" s="15"/>
      <c r="J146" s="15"/>
    </row>
    <row r="147">
      <c r="D147" s="15"/>
      <c r="J147" s="15"/>
    </row>
    <row r="148">
      <c r="D148" s="15"/>
      <c r="J148" s="15"/>
    </row>
    <row r="149">
      <c r="D149" s="15"/>
      <c r="J149" s="15"/>
    </row>
    <row r="150">
      <c r="D150" s="15"/>
      <c r="J150" s="15"/>
    </row>
    <row r="151">
      <c r="D151" s="15"/>
      <c r="J151" s="15"/>
    </row>
    <row r="152">
      <c r="D152" s="15"/>
      <c r="J152" s="15"/>
    </row>
    <row r="153">
      <c r="D153" s="15"/>
      <c r="J153" s="15"/>
    </row>
    <row r="154">
      <c r="D154" s="15"/>
      <c r="J154" s="15"/>
    </row>
    <row r="155">
      <c r="D155" s="15"/>
      <c r="J155" s="15"/>
    </row>
    <row r="156">
      <c r="D156" s="15"/>
      <c r="J156" s="15"/>
    </row>
    <row r="157">
      <c r="D157" s="15"/>
      <c r="J157" s="15"/>
    </row>
    <row r="158">
      <c r="D158" s="15"/>
      <c r="J158" s="15"/>
    </row>
    <row r="159">
      <c r="D159" s="15"/>
      <c r="J159" s="15"/>
    </row>
    <row r="160">
      <c r="D160" s="15"/>
      <c r="J160" s="15"/>
    </row>
    <row r="161">
      <c r="D161" s="15"/>
      <c r="J161" s="15"/>
    </row>
    <row r="162">
      <c r="D162" s="15"/>
      <c r="J162" s="15"/>
    </row>
    <row r="163">
      <c r="D163" s="15"/>
      <c r="J163" s="15"/>
    </row>
    <row r="164">
      <c r="D164" s="15"/>
      <c r="J164" s="15"/>
    </row>
    <row r="165">
      <c r="D165" s="15"/>
      <c r="J165" s="15"/>
    </row>
    <row r="166">
      <c r="D166" s="15"/>
      <c r="J166" s="15"/>
    </row>
    <row r="167">
      <c r="D167" s="15"/>
      <c r="J167" s="15"/>
    </row>
    <row r="168">
      <c r="D168" s="15"/>
      <c r="J168" s="15"/>
    </row>
    <row r="169">
      <c r="D169" s="15"/>
      <c r="J169" s="15"/>
    </row>
    <row r="170">
      <c r="D170" s="15"/>
      <c r="J170" s="15"/>
    </row>
    <row r="171">
      <c r="D171" s="15"/>
      <c r="J171" s="15"/>
    </row>
    <row r="172">
      <c r="D172" s="15"/>
      <c r="J172" s="15"/>
    </row>
    <row r="173">
      <c r="D173" s="15"/>
      <c r="J173" s="15"/>
    </row>
    <row r="174">
      <c r="D174" s="15"/>
      <c r="J174" s="15"/>
    </row>
    <row r="175">
      <c r="D175" s="15"/>
      <c r="J175" s="15"/>
    </row>
    <row r="176">
      <c r="D176" s="15"/>
      <c r="J176" s="15"/>
    </row>
    <row r="177">
      <c r="D177" s="15"/>
      <c r="J177" s="15"/>
    </row>
    <row r="178">
      <c r="D178" s="15"/>
      <c r="J178" s="15"/>
    </row>
    <row r="179">
      <c r="D179" s="15"/>
      <c r="J179" s="15"/>
    </row>
    <row r="180">
      <c r="D180" s="15"/>
      <c r="J180" s="15"/>
    </row>
    <row r="181">
      <c r="D181" s="15"/>
      <c r="J181" s="15"/>
    </row>
    <row r="182">
      <c r="D182" s="15"/>
      <c r="J182" s="15"/>
    </row>
    <row r="183">
      <c r="D183" s="15"/>
      <c r="J183" s="15"/>
    </row>
    <row r="184">
      <c r="D184" s="15"/>
      <c r="J184" s="15"/>
    </row>
    <row r="185">
      <c r="D185" s="15"/>
      <c r="J185" s="15"/>
    </row>
    <row r="186">
      <c r="D186" s="15"/>
      <c r="J186" s="15"/>
    </row>
    <row r="187">
      <c r="D187" s="15"/>
      <c r="J187" s="15"/>
    </row>
    <row r="188">
      <c r="D188" s="15"/>
      <c r="J188" s="15"/>
    </row>
    <row r="189">
      <c r="D189" s="15"/>
      <c r="J189" s="15"/>
    </row>
    <row r="190">
      <c r="D190" s="15"/>
      <c r="J190" s="15"/>
    </row>
    <row r="191">
      <c r="D191" s="15"/>
      <c r="J191" s="15"/>
    </row>
    <row r="192">
      <c r="D192" s="15"/>
      <c r="J192" s="15"/>
    </row>
    <row r="193">
      <c r="D193" s="15"/>
      <c r="J193" s="15"/>
    </row>
    <row r="194">
      <c r="D194" s="15"/>
      <c r="J194" s="15"/>
    </row>
    <row r="195">
      <c r="D195" s="15"/>
      <c r="J195" s="15"/>
    </row>
    <row r="196">
      <c r="D196" s="15"/>
      <c r="J196" s="15"/>
    </row>
    <row r="197">
      <c r="D197" s="15"/>
      <c r="J197" s="15"/>
    </row>
    <row r="198">
      <c r="D198" s="15"/>
      <c r="J198" s="15"/>
    </row>
    <row r="199">
      <c r="D199" s="15"/>
      <c r="J199" s="15"/>
    </row>
    <row r="200">
      <c r="D200" s="15"/>
      <c r="J200" s="15"/>
    </row>
    <row r="201">
      <c r="D201" s="15"/>
      <c r="J201" s="15"/>
    </row>
    <row r="202">
      <c r="D202" s="15"/>
      <c r="J202" s="15"/>
    </row>
    <row r="203">
      <c r="D203" s="15"/>
      <c r="J203" s="15"/>
    </row>
    <row r="204">
      <c r="D204" s="15"/>
      <c r="J204" s="15"/>
    </row>
    <row r="205">
      <c r="D205" s="15"/>
      <c r="J205" s="15"/>
    </row>
    <row r="206">
      <c r="D206" s="15"/>
      <c r="J206" s="15"/>
    </row>
    <row r="207">
      <c r="D207" s="15"/>
      <c r="J207" s="15"/>
    </row>
    <row r="208">
      <c r="D208" s="15"/>
      <c r="J208" s="15"/>
    </row>
    <row r="209">
      <c r="D209" s="15"/>
      <c r="J209" s="15"/>
    </row>
    <row r="210">
      <c r="D210" s="15"/>
      <c r="J210" s="15"/>
    </row>
    <row r="211">
      <c r="D211" s="15"/>
      <c r="J211" s="15"/>
    </row>
    <row r="212">
      <c r="D212" s="15"/>
      <c r="J212" s="15"/>
    </row>
    <row r="213">
      <c r="D213" s="15"/>
      <c r="J213" s="15"/>
    </row>
    <row r="214">
      <c r="D214" s="15"/>
      <c r="J214" s="15"/>
    </row>
    <row r="215">
      <c r="D215" s="15"/>
      <c r="J215" s="15"/>
    </row>
    <row r="216">
      <c r="D216" s="15"/>
      <c r="J216" s="15"/>
    </row>
    <row r="217">
      <c r="D217" s="15"/>
      <c r="J217" s="15"/>
    </row>
    <row r="218">
      <c r="D218" s="15"/>
      <c r="J218" s="15"/>
    </row>
    <row r="219">
      <c r="D219" s="15"/>
      <c r="J219" s="15"/>
    </row>
    <row r="220">
      <c r="D220" s="15"/>
      <c r="J220" s="15"/>
    </row>
    <row r="221">
      <c r="D221" s="15"/>
      <c r="J221" s="15"/>
    </row>
    <row r="222">
      <c r="D222" s="15"/>
      <c r="J222" s="15"/>
    </row>
    <row r="223">
      <c r="D223" s="15"/>
      <c r="J223" s="15"/>
    </row>
    <row r="224">
      <c r="D224" s="15"/>
      <c r="J224" s="15"/>
    </row>
    <row r="225">
      <c r="D225" s="15"/>
      <c r="J225" s="15"/>
    </row>
    <row r="226">
      <c r="D226" s="15"/>
      <c r="J226" s="15"/>
    </row>
    <row r="227">
      <c r="D227" s="15"/>
      <c r="J227" s="15"/>
    </row>
    <row r="228">
      <c r="D228" s="15"/>
      <c r="J228" s="15"/>
    </row>
    <row r="229">
      <c r="D229" s="15"/>
      <c r="J229" s="15"/>
    </row>
    <row r="230">
      <c r="D230" s="15"/>
      <c r="J230" s="15"/>
    </row>
    <row r="231">
      <c r="D231" s="15"/>
      <c r="J231" s="15"/>
    </row>
    <row r="232">
      <c r="D232" s="15"/>
      <c r="J232" s="15"/>
    </row>
    <row r="233">
      <c r="D233" s="15"/>
      <c r="J233" s="15"/>
    </row>
    <row r="234">
      <c r="D234" s="15"/>
      <c r="J234" s="15"/>
    </row>
    <row r="235">
      <c r="D235" s="15"/>
      <c r="J235" s="15"/>
    </row>
    <row r="236">
      <c r="D236" s="15"/>
      <c r="J236" s="15"/>
    </row>
    <row r="237">
      <c r="D237" s="15"/>
      <c r="J237" s="15"/>
    </row>
    <row r="238">
      <c r="D238" s="15"/>
      <c r="J238" s="15"/>
    </row>
    <row r="239">
      <c r="D239" s="15"/>
      <c r="J239" s="15"/>
    </row>
    <row r="240">
      <c r="D240" s="15"/>
      <c r="J240" s="15"/>
    </row>
    <row r="241">
      <c r="D241" s="15"/>
      <c r="J241" s="15"/>
    </row>
    <row r="242">
      <c r="D242" s="15"/>
      <c r="J242" s="15"/>
    </row>
    <row r="243">
      <c r="D243" s="15"/>
      <c r="J243" s="15"/>
    </row>
    <row r="244">
      <c r="D244" s="15"/>
      <c r="J244" s="15"/>
    </row>
    <row r="245">
      <c r="D245" s="15"/>
      <c r="J245" s="15"/>
    </row>
    <row r="246">
      <c r="D246" s="15"/>
      <c r="J246" s="15"/>
    </row>
    <row r="247">
      <c r="D247" s="15"/>
      <c r="J247" s="15"/>
    </row>
    <row r="248">
      <c r="D248" s="15"/>
      <c r="J248" s="15"/>
    </row>
    <row r="249">
      <c r="D249" s="15"/>
      <c r="J249" s="15"/>
    </row>
    <row r="250">
      <c r="D250" s="15"/>
      <c r="J250" s="15"/>
    </row>
    <row r="251">
      <c r="D251" s="15"/>
      <c r="J251" s="15"/>
    </row>
    <row r="252">
      <c r="D252" s="15"/>
      <c r="J252" s="15"/>
    </row>
    <row r="253">
      <c r="D253" s="15"/>
      <c r="J253" s="15"/>
    </row>
    <row r="254">
      <c r="D254" s="15"/>
      <c r="J254" s="15"/>
    </row>
    <row r="255">
      <c r="D255" s="15"/>
      <c r="J255" s="15"/>
    </row>
    <row r="256">
      <c r="D256" s="15"/>
      <c r="J256" s="15"/>
    </row>
    <row r="257">
      <c r="D257" s="15"/>
      <c r="J257" s="15"/>
    </row>
    <row r="258">
      <c r="D258" s="15"/>
      <c r="J258" s="15"/>
    </row>
    <row r="259">
      <c r="D259" s="15"/>
      <c r="J259" s="15"/>
    </row>
    <row r="260">
      <c r="D260" s="15"/>
      <c r="J260" s="15"/>
    </row>
    <row r="261">
      <c r="D261" s="15"/>
      <c r="J261" s="15"/>
    </row>
    <row r="262">
      <c r="D262" s="15"/>
      <c r="J262" s="15"/>
    </row>
    <row r="263">
      <c r="D263" s="15"/>
      <c r="J263" s="15"/>
    </row>
    <row r="264">
      <c r="D264" s="15"/>
      <c r="J264" s="15"/>
    </row>
    <row r="265">
      <c r="D265" s="15"/>
      <c r="J265" s="15"/>
    </row>
    <row r="266">
      <c r="D266" s="15"/>
      <c r="J266" s="15"/>
    </row>
    <row r="267">
      <c r="D267" s="15"/>
      <c r="J267" s="15"/>
    </row>
    <row r="268">
      <c r="D268" s="15"/>
      <c r="J268" s="15"/>
    </row>
    <row r="269">
      <c r="D269" s="15"/>
      <c r="J269" s="15"/>
    </row>
    <row r="270">
      <c r="D270" s="15"/>
      <c r="J270" s="15"/>
    </row>
    <row r="271">
      <c r="D271" s="15"/>
      <c r="J271" s="15"/>
    </row>
    <row r="272">
      <c r="D272" s="15"/>
      <c r="J272" s="15"/>
    </row>
    <row r="273">
      <c r="D273" s="15"/>
      <c r="J273" s="15"/>
    </row>
    <row r="274">
      <c r="D274" s="15"/>
      <c r="J274" s="15"/>
    </row>
    <row r="275">
      <c r="D275" s="15"/>
      <c r="J275" s="15"/>
    </row>
    <row r="276">
      <c r="D276" s="15"/>
      <c r="J276" s="15"/>
    </row>
    <row r="277">
      <c r="D277" s="15"/>
      <c r="J277" s="15"/>
    </row>
    <row r="278">
      <c r="D278" s="15"/>
      <c r="J278" s="15"/>
    </row>
    <row r="279">
      <c r="D279" s="15"/>
      <c r="J279" s="15"/>
    </row>
    <row r="280">
      <c r="D280" s="15"/>
      <c r="J280" s="15"/>
    </row>
    <row r="281">
      <c r="D281" s="15"/>
      <c r="J281" s="15"/>
    </row>
    <row r="282">
      <c r="D282" s="15"/>
      <c r="J282" s="15"/>
    </row>
    <row r="283">
      <c r="D283" s="15"/>
      <c r="J283" s="15"/>
    </row>
    <row r="284">
      <c r="D284" s="15"/>
      <c r="J284" s="15"/>
    </row>
    <row r="285">
      <c r="D285" s="15"/>
      <c r="J285" s="15"/>
    </row>
    <row r="286">
      <c r="D286" s="15"/>
      <c r="J286" s="15"/>
    </row>
    <row r="287">
      <c r="D287" s="15"/>
      <c r="J287" s="15"/>
    </row>
    <row r="288">
      <c r="D288" s="15"/>
      <c r="J288" s="15"/>
    </row>
    <row r="289">
      <c r="D289" s="15"/>
      <c r="J289" s="15"/>
    </row>
    <row r="290">
      <c r="D290" s="15"/>
      <c r="J290" s="15"/>
    </row>
    <row r="291">
      <c r="D291" s="15"/>
      <c r="J291" s="15"/>
    </row>
    <row r="292">
      <c r="D292" s="15"/>
      <c r="J292" s="15"/>
    </row>
    <row r="293">
      <c r="D293" s="15"/>
      <c r="J293" s="15"/>
    </row>
    <row r="294">
      <c r="D294" s="15"/>
      <c r="J294" s="15"/>
    </row>
    <row r="295">
      <c r="D295" s="15"/>
      <c r="J295" s="15"/>
    </row>
    <row r="296">
      <c r="D296" s="15"/>
      <c r="J296" s="15"/>
    </row>
    <row r="297">
      <c r="D297" s="15"/>
      <c r="J297" s="15"/>
    </row>
    <row r="298">
      <c r="D298" s="15"/>
      <c r="J298" s="15"/>
    </row>
    <row r="299">
      <c r="D299" s="15"/>
      <c r="J299" s="15"/>
    </row>
    <row r="300">
      <c r="D300" s="15"/>
      <c r="J300" s="15"/>
    </row>
    <row r="301">
      <c r="D301" s="15"/>
      <c r="J301" s="15"/>
    </row>
    <row r="302">
      <c r="D302" s="15"/>
      <c r="J302" s="15"/>
    </row>
    <row r="303">
      <c r="D303" s="15"/>
      <c r="J303" s="15"/>
    </row>
    <row r="304">
      <c r="D304" s="15"/>
      <c r="J304" s="15"/>
    </row>
    <row r="305">
      <c r="D305" s="15"/>
      <c r="J305" s="15"/>
    </row>
    <row r="306">
      <c r="D306" s="15"/>
      <c r="J306" s="15"/>
    </row>
    <row r="307">
      <c r="D307" s="15"/>
      <c r="J307" s="15"/>
    </row>
    <row r="308">
      <c r="D308" s="15"/>
      <c r="J308" s="15"/>
    </row>
    <row r="309">
      <c r="D309" s="15"/>
      <c r="J309" s="15"/>
    </row>
    <row r="310">
      <c r="D310" s="15"/>
      <c r="J310" s="15"/>
    </row>
    <row r="311">
      <c r="D311" s="15"/>
      <c r="J311" s="15"/>
    </row>
    <row r="312">
      <c r="D312" s="15"/>
      <c r="J312" s="15"/>
    </row>
    <row r="313">
      <c r="D313" s="15"/>
      <c r="J313" s="15"/>
    </row>
    <row r="314">
      <c r="D314" s="15"/>
      <c r="J314" s="15"/>
    </row>
    <row r="315">
      <c r="D315" s="15"/>
      <c r="J315" s="15"/>
    </row>
    <row r="316">
      <c r="D316" s="15"/>
      <c r="J316" s="15"/>
    </row>
    <row r="317">
      <c r="D317" s="15"/>
      <c r="J317" s="15"/>
    </row>
    <row r="318">
      <c r="D318" s="15"/>
      <c r="J318" s="15"/>
    </row>
    <row r="319">
      <c r="D319" s="15"/>
      <c r="J319" s="15"/>
    </row>
    <row r="320">
      <c r="D320" s="15"/>
      <c r="J320" s="15"/>
    </row>
    <row r="321">
      <c r="D321" s="15"/>
      <c r="J321" s="15"/>
    </row>
    <row r="322">
      <c r="D322" s="15"/>
      <c r="J322" s="15"/>
    </row>
    <row r="323">
      <c r="D323" s="15"/>
      <c r="J323" s="15"/>
    </row>
    <row r="324">
      <c r="D324" s="15"/>
      <c r="J324" s="15"/>
    </row>
    <row r="325">
      <c r="D325" s="15"/>
      <c r="J325" s="15"/>
    </row>
    <row r="326">
      <c r="D326" s="15"/>
      <c r="J326" s="15"/>
    </row>
    <row r="327">
      <c r="D327" s="15"/>
      <c r="J327" s="15"/>
    </row>
    <row r="328">
      <c r="D328" s="15"/>
      <c r="J328" s="15"/>
    </row>
    <row r="329">
      <c r="D329" s="15"/>
      <c r="J329" s="15"/>
    </row>
    <row r="330">
      <c r="D330" s="15"/>
      <c r="J330" s="15"/>
    </row>
    <row r="331">
      <c r="D331" s="15"/>
      <c r="J331" s="15"/>
    </row>
    <row r="332">
      <c r="D332" s="15"/>
      <c r="J332" s="15"/>
    </row>
    <row r="333">
      <c r="D333" s="15"/>
      <c r="J333" s="15"/>
    </row>
    <row r="334">
      <c r="D334" s="15"/>
      <c r="J334" s="15"/>
    </row>
    <row r="335">
      <c r="D335" s="15"/>
      <c r="J335" s="15"/>
    </row>
    <row r="336">
      <c r="D336" s="15"/>
      <c r="J336" s="15"/>
    </row>
    <row r="337">
      <c r="D337" s="15"/>
      <c r="J337" s="15"/>
    </row>
    <row r="338">
      <c r="D338" s="15"/>
      <c r="J338" s="15"/>
    </row>
    <row r="339">
      <c r="D339" s="15"/>
      <c r="J339" s="15"/>
    </row>
    <row r="340">
      <c r="D340" s="15"/>
      <c r="J340" s="15"/>
    </row>
    <row r="341">
      <c r="D341" s="15"/>
      <c r="J341" s="15"/>
    </row>
    <row r="342">
      <c r="D342" s="15"/>
      <c r="J342" s="15"/>
    </row>
    <row r="343">
      <c r="D343" s="15"/>
      <c r="J343" s="15"/>
    </row>
    <row r="344">
      <c r="D344" s="15"/>
      <c r="J344" s="15"/>
    </row>
    <row r="345">
      <c r="D345" s="15"/>
      <c r="J345" s="15"/>
    </row>
    <row r="346">
      <c r="D346" s="15"/>
      <c r="J346" s="15"/>
    </row>
    <row r="347">
      <c r="D347" s="15"/>
      <c r="J347" s="15"/>
    </row>
    <row r="348">
      <c r="D348" s="15"/>
      <c r="J348" s="15"/>
    </row>
    <row r="349">
      <c r="D349" s="15"/>
      <c r="J349" s="15"/>
    </row>
    <row r="350">
      <c r="D350" s="15"/>
      <c r="J350" s="15"/>
    </row>
    <row r="351">
      <c r="D351" s="15"/>
      <c r="J351" s="15"/>
    </row>
    <row r="352">
      <c r="D352" s="15"/>
      <c r="J352" s="15"/>
    </row>
    <row r="353">
      <c r="D353" s="15"/>
      <c r="J353" s="15"/>
    </row>
    <row r="354">
      <c r="D354" s="15"/>
      <c r="J354" s="15"/>
    </row>
    <row r="355">
      <c r="D355" s="15"/>
      <c r="J355" s="15"/>
    </row>
    <row r="356">
      <c r="D356" s="15"/>
      <c r="J356" s="15"/>
    </row>
    <row r="357">
      <c r="D357" s="15"/>
      <c r="J357" s="15"/>
    </row>
    <row r="358">
      <c r="D358" s="15"/>
      <c r="J358" s="15"/>
    </row>
    <row r="359">
      <c r="D359" s="15"/>
      <c r="J359" s="15"/>
    </row>
    <row r="360">
      <c r="D360" s="15"/>
      <c r="J360" s="15"/>
    </row>
    <row r="361">
      <c r="D361" s="15"/>
      <c r="J361" s="15"/>
    </row>
    <row r="362">
      <c r="D362" s="15"/>
      <c r="J362" s="15"/>
    </row>
    <row r="363">
      <c r="D363" s="15"/>
      <c r="J363" s="15"/>
    </row>
    <row r="364">
      <c r="D364" s="15"/>
      <c r="J364" s="15"/>
    </row>
    <row r="365">
      <c r="D365" s="15"/>
      <c r="J365" s="15"/>
    </row>
    <row r="366">
      <c r="D366" s="15"/>
      <c r="J366" s="15"/>
    </row>
    <row r="367">
      <c r="D367" s="15"/>
      <c r="J367" s="15"/>
    </row>
    <row r="368">
      <c r="D368" s="15"/>
      <c r="J368" s="15"/>
    </row>
    <row r="369">
      <c r="D369" s="15"/>
      <c r="J369" s="15"/>
    </row>
    <row r="370">
      <c r="D370" s="15"/>
      <c r="J370" s="15"/>
    </row>
    <row r="371">
      <c r="D371" s="15"/>
      <c r="J371" s="15"/>
    </row>
    <row r="372">
      <c r="D372" s="15"/>
      <c r="J372" s="15"/>
    </row>
    <row r="373">
      <c r="D373" s="15"/>
      <c r="J373" s="15"/>
    </row>
    <row r="374">
      <c r="D374" s="15"/>
      <c r="J374" s="15"/>
    </row>
    <row r="375">
      <c r="D375" s="15"/>
      <c r="J375" s="15"/>
    </row>
    <row r="376">
      <c r="D376" s="15"/>
      <c r="J376" s="15"/>
    </row>
    <row r="377">
      <c r="D377" s="15"/>
      <c r="J377" s="15"/>
    </row>
    <row r="378">
      <c r="D378" s="15"/>
      <c r="J378" s="15"/>
    </row>
    <row r="379">
      <c r="D379" s="15"/>
      <c r="J379" s="15"/>
    </row>
    <row r="380">
      <c r="D380" s="15"/>
      <c r="J380" s="15"/>
    </row>
    <row r="381">
      <c r="D381" s="15"/>
      <c r="J381" s="15"/>
    </row>
    <row r="382">
      <c r="D382" s="15"/>
      <c r="J382" s="15"/>
    </row>
    <row r="383">
      <c r="D383" s="15"/>
      <c r="J383" s="15"/>
    </row>
    <row r="384">
      <c r="D384" s="15"/>
      <c r="J384" s="15"/>
    </row>
    <row r="385">
      <c r="D385" s="15"/>
      <c r="J385" s="15"/>
    </row>
    <row r="386">
      <c r="D386" s="15"/>
      <c r="J386" s="15"/>
    </row>
    <row r="387">
      <c r="D387" s="15"/>
      <c r="J387" s="15"/>
    </row>
    <row r="388">
      <c r="D388" s="15"/>
      <c r="J388" s="15"/>
    </row>
    <row r="389">
      <c r="D389" s="15"/>
      <c r="J389" s="15"/>
    </row>
    <row r="390">
      <c r="D390" s="15"/>
      <c r="J390" s="15"/>
    </row>
    <row r="391">
      <c r="D391" s="15"/>
      <c r="J391" s="15"/>
    </row>
    <row r="392">
      <c r="D392" s="15"/>
      <c r="J392" s="15"/>
    </row>
    <row r="393">
      <c r="D393" s="15"/>
      <c r="J393" s="15"/>
    </row>
    <row r="394">
      <c r="D394" s="15"/>
      <c r="J394" s="15"/>
    </row>
    <row r="395">
      <c r="D395" s="15"/>
      <c r="J395" s="15"/>
    </row>
    <row r="396">
      <c r="D396" s="15"/>
      <c r="J396" s="15"/>
    </row>
    <row r="397">
      <c r="D397" s="15"/>
      <c r="J397" s="15"/>
    </row>
    <row r="398">
      <c r="D398" s="15"/>
      <c r="J398" s="15"/>
    </row>
    <row r="399">
      <c r="D399" s="15"/>
      <c r="J399" s="15"/>
    </row>
    <row r="400">
      <c r="D400" s="15"/>
      <c r="J400" s="15"/>
    </row>
    <row r="401">
      <c r="D401" s="15"/>
      <c r="J401" s="15"/>
    </row>
    <row r="402">
      <c r="D402" s="15"/>
      <c r="J402" s="15"/>
    </row>
    <row r="403">
      <c r="D403" s="15"/>
      <c r="J403" s="15"/>
    </row>
    <row r="404">
      <c r="D404" s="15"/>
      <c r="J404" s="15"/>
    </row>
    <row r="405">
      <c r="D405" s="15"/>
      <c r="J405" s="15"/>
    </row>
    <row r="406">
      <c r="D406" s="15"/>
      <c r="J406" s="15"/>
    </row>
    <row r="407">
      <c r="D407" s="15"/>
      <c r="J407" s="15"/>
    </row>
    <row r="408">
      <c r="D408" s="15"/>
      <c r="J408" s="15"/>
    </row>
    <row r="409">
      <c r="D409" s="15"/>
      <c r="J409" s="15"/>
    </row>
    <row r="410">
      <c r="D410" s="15"/>
      <c r="J410" s="15"/>
    </row>
    <row r="411">
      <c r="D411" s="15"/>
      <c r="J411" s="15"/>
    </row>
    <row r="412">
      <c r="D412" s="15"/>
      <c r="J412" s="15"/>
    </row>
    <row r="413">
      <c r="D413" s="15"/>
      <c r="J413" s="15"/>
    </row>
    <row r="414">
      <c r="D414" s="15"/>
      <c r="J414" s="15"/>
    </row>
    <row r="415">
      <c r="D415" s="15"/>
      <c r="J415" s="15"/>
    </row>
    <row r="416">
      <c r="D416" s="15"/>
      <c r="J416" s="15"/>
    </row>
    <row r="417">
      <c r="D417" s="15"/>
      <c r="J417" s="15"/>
    </row>
    <row r="418">
      <c r="D418" s="15"/>
      <c r="J418" s="15"/>
    </row>
    <row r="419">
      <c r="D419" s="15"/>
      <c r="J419" s="15"/>
    </row>
    <row r="420">
      <c r="D420" s="15"/>
      <c r="J420" s="15"/>
    </row>
    <row r="421">
      <c r="D421" s="15"/>
      <c r="J421" s="15"/>
    </row>
    <row r="422">
      <c r="D422" s="15"/>
      <c r="J422" s="15"/>
    </row>
    <row r="423">
      <c r="D423" s="15"/>
      <c r="J423" s="15"/>
    </row>
    <row r="424">
      <c r="D424" s="15"/>
      <c r="J424" s="15"/>
    </row>
    <row r="425">
      <c r="D425" s="15"/>
      <c r="J425" s="15"/>
    </row>
    <row r="426">
      <c r="D426" s="15"/>
      <c r="J426" s="15"/>
    </row>
    <row r="427">
      <c r="D427" s="15"/>
      <c r="J427" s="15"/>
    </row>
    <row r="428">
      <c r="D428" s="15"/>
      <c r="J428" s="15"/>
    </row>
    <row r="429">
      <c r="D429" s="15"/>
      <c r="J429" s="15"/>
    </row>
    <row r="430">
      <c r="D430" s="15"/>
      <c r="J430" s="15"/>
    </row>
    <row r="431">
      <c r="D431" s="15"/>
      <c r="J431" s="15"/>
    </row>
    <row r="432">
      <c r="D432" s="15"/>
      <c r="J432" s="15"/>
    </row>
    <row r="433">
      <c r="D433" s="15"/>
      <c r="J433" s="15"/>
    </row>
    <row r="434">
      <c r="D434" s="15"/>
      <c r="J434" s="15"/>
    </row>
    <row r="435">
      <c r="D435" s="15"/>
      <c r="J435" s="15"/>
    </row>
    <row r="436">
      <c r="D436" s="15"/>
      <c r="J436" s="15"/>
    </row>
    <row r="437">
      <c r="D437" s="15"/>
      <c r="J437" s="15"/>
    </row>
    <row r="438">
      <c r="D438" s="15"/>
      <c r="J438" s="15"/>
    </row>
    <row r="439">
      <c r="D439" s="15"/>
      <c r="J439" s="15"/>
    </row>
    <row r="440">
      <c r="D440" s="15"/>
      <c r="J440" s="15"/>
    </row>
    <row r="441">
      <c r="D441" s="15"/>
      <c r="J441" s="15"/>
    </row>
    <row r="442">
      <c r="D442" s="15"/>
      <c r="J442" s="15"/>
    </row>
    <row r="443">
      <c r="D443" s="15"/>
      <c r="J443" s="15"/>
    </row>
    <row r="444">
      <c r="D444" s="15"/>
      <c r="J444" s="15"/>
    </row>
    <row r="445">
      <c r="D445" s="15"/>
      <c r="J445" s="15"/>
    </row>
    <row r="446">
      <c r="D446" s="15"/>
      <c r="J446" s="15"/>
    </row>
    <row r="447">
      <c r="D447" s="15"/>
      <c r="J447" s="15"/>
    </row>
    <row r="448">
      <c r="D448" s="15"/>
      <c r="J448" s="15"/>
    </row>
    <row r="449">
      <c r="D449" s="15"/>
      <c r="J449" s="15"/>
    </row>
    <row r="450">
      <c r="D450" s="15"/>
      <c r="J450" s="15"/>
    </row>
    <row r="451">
      <c r="D451" s="15"/>
      <c r="J451" s="15"/>
    </row>
    <row r="452">
      <c r="D452" s="15"/>
      <c r="J452" s="15"/>
    </row>
    <row r="453">
      <c r="D453" s="15"/>
      <c r="J453" s="15"/>
    </row>
    <row r="454">
      <c r="D454" s="15"/>
      <c r="J454" s="15"/>
    </row>
    <row r="455">
      <c r="D455" s="15"/>
      <c r="J455" s="15"/>
    </row>
    <row r="456">
      <c r="D456" s="15"/>
      <c r="J456" s="15"/>
    </row>
    <row r="457">
      <c r="D457" s="15"/>
      <c r="J457" s="15"/>
    </row>
    <row r="458">
      <c r="D458" s="15"/>
      <c r="J458" s="15"/>
    </row>
    <row r="459">
      <c r="D459" s="15"/>
      <c r="J459" s="15"/>
    </row>
    <row r="460">
      <c r="D460" s="15"/>
      <c r="J460" s="15"/>
    </row>
    <row r="461">
      <c r="D461" s="15"/>
      <c r="J461" s="15"/>
    </row>
    <row r="462">
      <c r="D462" s="15"/>
      <c r="J462" s="15"/>
    </row>
    <row r="463">
      <c r="D463" s="15"/>
      <c r="J463" s="15"/>
    </row>
    <row r="464">
      <c r="D464" s="15"/>
      <c r="J464" s="15"/>
    </row>
    <row r="465">
      <c r="D465" s="15"/>
      <c r="J465" s="15"/>
    </row>
    <row r="466">
      <c r="D466" s="15"/>
      <c r="J466" s="15"/>
    </row>
    <row r="467">
      <c r="D467" s="15"/>
      <c r="J467" s="15"/>
    </row>
    <row r="468">
      <c r="D468" s="15"/>
      <c r="J468" s="15"/>
    </row>
    <row r="469">
      <c r="D469" s="15"/>
      <c r="J469" s="15"/>
    </row>
    <row r="470">
      <c r="D470" s="15"/>
      <c r="J470" s="15"/>
    </row>
    <row r="471">
      <c r="D471" s="15"/>
      <c r="J471" s="15"/>
    </row>
    <row r="472">
      <c r="D472" s="15"/>
      <c r="J472" s="15"/>
    </row>
    <row r="473">
      <c r="D473" s="15"/>
      <c r="J473" s="15"/>
    </row>
    <row r="474">
      <c r="D474" s="15"/>
      <c r="J474" s="15"/>
    </row>
    <row r="475">
      <c r="D475" s="15"/>
      <c r="J475" s="15"/>
    </row>
    <row r="476">
      <c r="D476" s="15"/>
      <c r="J476" s="15"/>
    </row>
    <row r="477">
      <c r="D477" s="15"/>
      <c r="J477" s="15"/>
    </row>
    <row r="478">
      <c r="D478" s="15"/>
      <c r="J478" s="15"/>
    </row>
    <row r="479">
      <c r="D479" s="15"/>
      <c r="J479" s="15"/>
    </row>
    <row r="480">
      <c r="D480" s="15"/>
      <c r="J480" s="15"/>
    </row>
    <row r="481">
      <c r="D481" s="15"/>
      <c r="J481" s="15"/>
    </row>
    <row r="482">
      <c r="D482" s="15"/>
      <c r="J482" s="15"/>
    </row>
    <row r="483">
      <c r="D483" s="15"/>
      <c r="J483" s="15"/>
    </row>
    <row r="484">
      <c r="D484" s="15"/>
      <c r="J484" s="15"/>
    </row>
    <row r="485">
      <c r="D485" s="15"/>
      <c r="J485" s="15"/>
    </row>
    <row r="486">
      <c r="D486" s="15"/>
      <c r="J486" s="15"/>
    </row>
    <row r="487">
      <c r="D487" s="15"/>
      <c r="J487" s="15"/>
    </row>
    <row r="488">
      <c r="D488" s="15"/>
      <c r="J488" s="15"/>
    </row>
    <row r="489">
      <c r="D489" s="15"/>
      <c r="J489" s="15"/>
    </row>
    <row r="490">
      <c r="D490" s="15"/>
      <c r="J490" s="15"/>
    </row>
    <row r="491">
      <c r="D491" s="15"/>
      <c r="J491" s="15"/>
    </row>
    <row r="492">
      <c r="D492" s="15"/>
      <c r="J492" s="15"/>
    </row>
    <row r="493">
      <c r="D493" s="15"/>
      <c r="J493" s="15"/>
    </row>
    <row r="494">
      <c r="D494" s="15"/>
      <c r="J494" s="15"/>
    </row>
    <row r="495">
      <c r="D495" s="15"/>
      <c r="J495" s="15"/>
    </row>
    <row r="496">
      <c r="D496" s="15"/>
      <c r="J496" s="15"/>
    </row>
    <row r="497">
      <c r="D497" s="15"/>
      <c r="J497" s="15"/>
    </row>
    <row r="498">
      <c r="D498" s="15"/>
      <c r="J498" s="15"/>
    </row>
    <row r="499">
      <c r="D499" s="15"/>
      <c r="J499" s="15"/>
    </row>
    <row r="500">
      <c r="D500" s="15"/>
      <c r="J500" s="15"/>
    </row>
    <row r="501">
      <c r="D501" s="15"/>
      <c r="J501" s="15"/>
    </row>
    <row r="502">
      <c r="D502" s="15"/>
      <c r="J502" s="15"/>
    </row>
    <row r="503">
      <c r="D503" s="15"/>
      <c r="J503" s="15"/>
    </row>
    <row r="504">
      <c r="D504" s="15"/>
      <c r="J504" s="15"/>
    </row>
    <row r="505">
      <c r="D505" s="15"/>
      <c r="J505" s="15"/>
    </row>
    <row r="506">
      <c r="D506" s="15"/>
      <c r="J506" s="15"/>
    </row>
    <row r="507">
      <c r="D507" s="15"/>
      <c r="J507" s="15"/>
    </row>
    <row r="508">
      <c r="D508" s="15"/>
      <c r="J508" s="15"/>
    </row>
    <row r="509">
      <c r="D509" s="15"/>
      <c r="J509" s="15"/>
    </row>
    <row r="510">
      <c r="D510" s="15"/>
      <c r="J510" s="15"/>
    </row>
    <row r="511">
      <c r="D511" s="15"/>
      <c r="J511" s="15"/>
    </row>
    <row r="512">
      <c r="D512" s="15"/>
      <c r="J512" s="15"/>
    </row>
    <row r="513">
      <c r="D513" s="15"/>
      <c r="J513" s="15"/>
    </row>
    <row r="514">
      <c r="D514" s="15"/>
      <c r="J514" s="15"/>
    </row>
    <row r="515">
      <c r="D515" s="15"/>
      <c r="J515" s="15"/>
    </row>
    <row r="516">
      <c r="D516" s="15"/>
      <c r="J516" s="15"/>
    </row>
    <row r="517">
      <c r="D517" s="15"/>
      <c r="J517" s="15"/>
    </row>
    <row r="518">
      <c r="D518" s="15"/>
      <c r="J518" s="15"/>
    </row>
    <row r="519">
      <c r="D519" s="15"/>
      <c r="J519" s="15"/>
    </row>
    <row r="520">
      <c r="D520" s="15"/>
      <c r="J520" s="15"/>
    </row>
    <row r="521">
      <c r="D521" s="15"/>
      <c r="J521" s="15"/>
    </row>
    <row r="522">
      <c r="D522" s="15"/>
      <c r="J522" s="15"/>
    </row>
    <row r="523">
      <c r="D523" s="15"/>
      <c r="J523" s="15"/>
    </row>
    <row r="524">
      <c r="D524" s="15"/>
      <c r="J524" s="15"/>
    </row>
    <row r="525">
      <c r="D525" s="15"/>
      <c r="J525" s="15"/>
    </row>
    <row r="526">
      <c r="D526" s="15"/>
      <c r="J526" s="15"/>
    </row>
    <row r="527">
      <c r="D527" s="15"/>
      <c r="J527" s="15"/>
    </row>
    <row r="528">
      <c r="D528" s="15"/>
      <c r="J528" s="15"/>
    </row>
    <row r="529">
      <c r="D529" s="15"/>
      <c r="J529" s="15"/>
    </row>
    <row r="530">
      <c r="D530" s="15"/>
      <c r="J530" s="15"/>
    </row>
    <row r="531">
      <c r="D531" s="15"/>
      <c r="J531" s="15"/>
    </row>
    <row r="532">
      <c r="D532" s="15"/>
      <c r="J532" s="15"/>
    </row>
    <row r="533">
      <c r="D533" s="15"/>
      <c r="J533" s="15"/>
    </row>
    <row r="534">
      <c r="D534" s="15"/>
      <c r="J534" s="15"/>
    </row>
    <row r="535">
      <c r="D535" s="15"/>
      <c r="J535" s="15"/>
    </row>
    <row r="536">
      <c r="D536" s="15"/>
      <c r="J536" s="15"/>
    </row>
    <row r="537">
      <c r="D537" s="15"/>
      <c r="J537" s="15"/>
    </row>
    <row r="538">
      <c r="D538" s="15"/>
      <c r="J538" s="15"/>
    </row>
    <row r="539">
      <c r="D539" s="15"/>
      <c r="J539" s="15"/>
    </row>
    <row r="540">
      <c r="D540" s="15"/>
      <c r="J540" s="15"/>
    </row>
    <row r="541">
      <c r="D541" s="15"/>
      <c r="J541" s="15"/>
    </row>
    <row r="542">
      <c r="D542" s="15"/>
      <c r="J542" s="15"/>
    </row>
    <row r="543">
      <c r="D543" s="15"/>
      <c r="J543" s="15"/>
    </row>
    <row r="544">
      <c r="D544" s="15"/>
      <c r="J544" s="15"/>
    </row>
    <row r="545">
      <c r="D545" s="15"/>
      <c r="J545" s="15"/>
    </row>
    <row r="546">
      <c r="D546" s="15"/>
      <c r="J546" s="15"/>
    </row>
    <row r="547">
      <c r="D547" s="15"/>
      <c r="J547" s="15"/>
    </row>
    <row r="548">
      <c r="D548" s="15"/>
      <c r="J548" s="15"/>
    </row>
    <row r="549">
      <c r="D549" s="15"/>
      <c r="J549" s="15"/>
    </row>
    <row r="550">
      <c r="D550" s="15"/>
      <c r="J550" s="15"/>
    </row>
    <row r="551">
      <c r="D551" s="15"/>
      <c r="J551" s="15"/>
    </row>
    <row r="552">
      <c r="D552" s="15"/>
      <c r="J552" s="15"/>
    </row>
    <row r="553">
      <c r="D553" s="15"/>
      <c r="J553" s="15"/>
    </row>
    <row r="554">
      <c r="D554" s="15"/>
      <c r="J554" s="15"/>
    </row>
    <row r="555">
      <c r="D555" s="15"/>
      <c r="J555" s="15"/>
    </row>
    <row r="556">
      <c r="D556" s="15"/>
      <c r="J556" s="15"/>
    </row>
    <row r="557">
      <c r="D557" s="15"/>
      <c r="J557" s="15"/>
    </row>
    <row r="558">
      <c r="D558" s="15"/>
      <c r="J558" s="15"/>
    </row>
    <row r="559">
      <c r="D559" s="15"/>
      <c r="J559" s="15"/>
    </row>
    <row r="560">
      <c r="D560" s="15"/>
      <c r="J560" s="15"/>
    </row>
    <row r="561">
      <c r="D561" s="15"/>
      <c r="J561" s="15"/>
    </row>
    <row r="562">
      <c r="D562" s="15"/>
      <c r="J562" s="15"/>
    </row>
    <row r="563">
      <c r="D563" s="15"/>
      <c r="J563" s="15"/>
    </row>
    <row r="564">
      <c r="D564" s="15"/>
      <c r="J564" s="15"/>
    </row>
    <row r="565">
      <c r="D565" s="15"/>
      <c r="J565" s="15"/>
    </row>
    <row r="566">
      <c r="D566" s="15"/>
      <c r="J566" s="15"/>
    </row>
    <row r="567">
      <c r="D567" s="15"/>
      <c r="J567" s="15"/>
    </row>
    <row r="568">
      <c r="D568" s="15"/>
      <c r="J568" s="15"/>
    </row>
    <row r="569">
      <c r="D569" s="15"/>
      <c r="J569" s="15"/>
    </row>
    <row r="570">
      <c r="D570" s="15"/>
      <c r="J570" s="15"/>
    </row>
    <row r="571">
      <c r="D571" s="15"/>
      <c r="J571" s="15"/>
    </row>
    <row r="572">
      <c r="D572" s="15"/>
      <c r="J572" s="15"/>
    </row>
    <row r="573">
      <c r="D573" s="15"/>
      <c r="J573" s="15"/>
    </row>
    <row r="574">
      <c r="D574" s="15"/>
      <c r="J574" s="15"/>
    </row>
    <row r="575">
      <c r="D575" s="15"/>
      <c r="J575" s="15"/>
    </row>
    <row r="576">
      <c r="D576" s="15"/>
      <c r="J576" s="15"/>
    </row>
    <row r="577">
      <c r="D577" s="15"/>
      <c r="J577" s="15"/>
    </row>
    <row r="578">
      <c r="D578" s="15"/>
      <c r="J578" s="15"/>
    </row>
    <row r="579">
      <c r="D579" s="15"/>
      <c r="J579" s="15"/>
    </row>
    <row r="580">
      <c r="D580" s="15"/>
      <c r="J580" s="15"/>
    </row>
    <row r="581">
      <c r="D581" s="15"/>
      <c r="J581" s="15"/>
    </row>
    <row r="582">
      <c r="D582" s="15"/>
      <c r="J582" s="15"/>
    </row>
    <row r="583">
      <c r="D583" s="15"/>
      <c r="J583" s="15"/>
    </row>
    <row r="584">
      <c r="D584" s="15"/>
      <c r="J584" s="15"/>
    </row>
    <row r="585">
      <c r="D585" s="15"/>
      <c r="J585" s="15"/>
    </row>
    <row r="586">
      <c r="D586" s="15"/>
      <c r="J586" s="15"/>
    </row>
    <row r="587">
      <c r="D587" s="15"/>
      <c r="J587" s="15"/>
    </row>
    <row r="588">
      <c r="D588" s="15"/>
      <c r="J588" s="15"/>
    </row>
    <row r="589">
      <c r="D589" s="15"/>
      <c r="J589" s="15"/>
    </row>
    <row r="590">
      <c r="D590" s="15"/>
      <c r="J590" s="15"/>
    </row>
    <row r="591">
      <c r="D591" s="15"/>
      <c r="J591" s="15"/>
    </row>
    <row r="592">
      <c r="D592" s="15"/>
      <c r="J592" s="15"/>
    </row>
    <row r="593">
      <c r="D593" s="15"/>
      <c r="J593" s="15"/>
    </row>
    <row r="594">
      <c r="D594" s="15"/>
      <c r="J594" s="15"/>
    </row>
    <row r="595">
      <c r="D595" s="15"/>
      <c r="J595" s="15"/>
    </row>
    <row r="596">
      <c r="D596" s="15"/>
      <c r="J596" s="15"/>
    </row>
    <row r="597">
      <c r="D597" s="15"/>
      <c r="J597" s="15"/>
    </row>
    <row r="598">
      <c r="D598" s="15"/>
      <c r="J598" s="15"/>
    </row>
    <row r="599">
      <c r="D599" s="15"/>
      <c r="J599" s="15"/>
    </row>
    <row r="600">
      <c r="D600" s="15"/>
      <c r="J600" s="15"/>
    </row>
    <row r="601">
      <c r="D601" s="15"/>
      <c r="J601" s="15"/>
    </row>
    <row r="602">
      <c r="D602" s="15"/>
      <c r="J602" s="15"/>
    </row>
    <row r="603">
      <c r="D603" s="15"/>
      <c r="J603" s="15"/>
    </row>
    <row r="604">
      <c r="D604" s="15"/>
      <c r="J604" s="15"/>
    </row>
    <row r="605">
      <c r="D605" s="15"/>
      <c r="J605" s="15"/>
    </row>
    <row r="606">
      <c r="D606" s="15"/>
      <c r="J606" s="15"/>
    </row>
    <row r="607">
      <c r="D607" s="15"/>
      <c r="J607" s="15"/>
    </row>
    <row r="608">
      <c r="D608" s="15"/>
      <c r="J608" s="15"/>
    </row>
    <row r="609">
      <c r="D609" s="15"/>
      <c r="J609" s="15"/>
    </row>
    <row r="610">
      <c r="D610" s="15"/>
      <c r="J610" s="15"/>
    </row>
    <row r="611">
      <c r="D611" s="15"/>
      <c r="J611" s="15"/>
    </row>
    <row r="612">
      <c r="D612" s="15"/>
      <c r="J612" s="15"/>
    </row>
    <row r="613">
      <c r="D613" s="15"/>
      <c r="J613" s="15"/>
    </row>
    <row r="614">
      <c r="D614" s="15"/>
      <c r="J614" s="15"/>
    </row>
    <row r="615">
      <c r="D615" s="15"/>
      <c r="J615" s="15"/>
    </row>
    <row r="616">
      <c r="D616" s="15"/>
      <c r="J616" s="15"/>
    </row>
    <row r="617">
      <c r="D617" s="15"/>
      <c r="J617" s="15"/>
    </row>
    <row r="618">
      <c r="D618" s="15"/>
      <c r="J618" s="15"/>
    </row>
    <row r="619">
      <c r="D619" s="15"/>
      <c r="J619" s="15"/>
    </row>
    <row r="620">
      <c r="D620" s="15"/>
      <c r="J620" s="15"/>
    </row>
    <row r="621">
      <c r="D621" s="15"/>
      <c r="J621" s="15"/>
    </row>
    <row r="622">
      <c r="D622" s="15"/>
      <c r="J622" s="15"/>
    </row>
    <row r="623">
      <c r="D623" s="15"/>
      <c r="J623" s="15"/>
    </row>
    <row r="624">
      <c r="D624" s="15"/>
      <c r="J624" s="15"/>
    </row>
    <row r="625">
      <c r="D625" s="15"/>
      <c r="J625" s="15"/>
    </row>
    <row r="626">
      <c r="D626" s="15"/>
      <c r="J626" s="15"/>
    </row>
    <row r="627">
      <c r="D627" s="15"/>
      <c r="J627" s="15"/>
    </row>
    <row r="628">
      <c r="D628" s="15"/>
      <c r="J628" s="15"/>
    </row>
    <row r="629">
      <c r="D629" s="15"/>
      <c r="J629" s="15"/>
    </row>
    <row r="630">
      <c r="D630" s="15"/>
      <c r="J630" s="15"/>
    </row>
    <row r="631">
      <c r="D631" s="15"/>
      <c r="J631" s="15"/>
    </row>
    <row r="632">
      <c r="D632" s="15"/>
      <c r="J632" s="15"/>
    </row>
    <row r="633">
      <c r="D633" s="15"/>
      <c r="J633" s="15"/>
    </row>
    <row r="634">
      <c r="D634" s="15"/>
      <c r="J634" s="15"/>
    </row>
    <row r="635">
      <c r="D635" s="15"/>
      <c r="J635" s="15"/>
    </row>
    <row r="636">
      <c r="D636" s="15"/>
      <c r="J636" s="15"/>
    </row>
    <row r="637">
      <c r="D637" s="15"/>
      <c r="J637" s="15"/>
    </row>
    <row r="638">
      <c r="D638" s="15"/>
      <c r="J638" s="15"/>
    </row>
    <row r="639">
      <c r="D639" s="15"/>
      <c r="J639" s="15"/>
    </row>
    <row r="640">
      <c r="D640" s="15"/>
      <c r="J640" s="15"/>
    </row>
    <row r="641">
      <c r="D641" s="15"/>
      <c r="J641" s="15"/>
    </row>
    <row r="642">
      <c r="D642" s="15"/>
      <c r="J642" s="15"/>
    </row>
    <row r="643">
      <c r="D643" s="15"/>
      <c r="J643" s="15"/>
    </row>
    <row r="644">
      <c r="D644" s="15"/>
      <c r="J644" s="15"/>
    </row>
    <row r="645">
      <c r="D645" s="15"/>
      <c r="J645" s="15"/>
    </row>
    <row r="646">
      <c r="D646" s="15"/>
      <c r="J646" s="15"/>
    </row>
    <row r="647">
      <c r="D647" s="15"/>
      <c r="J647" s="15"/>
    </row>
    <row r="648">
      <c r="D648" s="15"/>
      <c r="J648" s="15"/>
    </row>
    <row r="649">
      <c r="D649" s="15"/>
      <c r="J649" s="15"/>
    </row>
    <row r="650">
      <c r="D650" s="15"/>
      <c r="J650" s="15"/>
    </row>
    <row r="651">
      <c r="D651" s="15"/>
      <c r="J651" s="15"/>
    </row>
    <row r="652">
      <c r="D652" s="15"/>
      <c r="J652" s="15"/>
    </row>
    <row r="653">
      <c r="D653" s="15"/>
      <c r="J653" s="15"/>
    </row>
    <row r="654">
      <c r="D654" s="15"/>
      <c r="J654" s="15"/>
    </row>
    <row r="655">
      <c r="D655" s="15"/>
      <c r="J655" s="15"/>
    </row>
    <row r="656">
      <c r="D656" s="15"/>
      <c r="J656" s="15"/>
    </row>
    <row r="657">
      <c r="D657" s="15"/>
      <c r="J657" s="15"/>
    </row>
    <row r="658">
      <c r="D658" s="15"/>
      <c r="J658" s="15"/>
    </row>
    <row r="659">
      <c r="D659" s="15"/>
      <c r="J659" s="15"/>
    </row>
    <row r="660">
      <c r="D660" s="15"/>
      <c r="J660" s="15"/>
    </row>
    <row r="661">
      <c r="D661" s="15"/>
      <c r="J661" s="15"/>
    </row>
    <row r="662">
      <c r="D662" s="15"/>
      <c r="J662" s="15"/>
    </row>
    <row r="663">
      <c r="D663" s="15"/>
      <c r="J663" s="15"/>
    </row>
    <row r="664">
      <c r="D664" s="15"/>
      <c r="J664" s="15"/>
    </row>
    <row r="665">
      <c r="D665" s="15"/>
      <c r="J665" s="15"/>
    </row>
    <row r="666">
      <c r="D666" s="15"/>
      <c r="J666" s="15"/>
    </row>
    <row r="667">
      <c r="D667" s="15"/>
      <c r="J667" s="15"/>
    </row>
    <row r="668">
      <c r="D668" s="15"/>
      <c r="J668" s="15"/>
    </row>
    <row r="669">
      <c r="D669" s="15"/>
      <c r="J669" s="15"/>
    </row>
    <row r="670">
      <c r="D670" s="15"/>
      <c r="J670" s="15"/>
    </row>
    <row r="671">
      <c r="D671" s="15"/>
      <c r="J671" s="15"/>
    </row>
    <row r="672">
      <c r="D672" s="15"/>
      <c r="J672" s="15"/>
    </row>
    <row r="673">
      <c r="D673" s="15"/>
      <c r="J673" s="15"/>
    </row>
    <row r="674">
      <c r="D674" s="15"/>
      <c r="J674" s="15"/>
    </row>
    <row r="675">
      <c r="D675" s="15"/>
      <c r="J675" s="15"/>
    </row>
    <row r="676">
      <c r="D676" s="15"/>
      <c r="J676" s="15"/>
    </row>
    <row r="677">
      <c r="D677" s="15"/>
      <c r="J677" s="15"/>
    </row>
    <row r="678">
      <c r="D678" s="15"/>
      <c r="J678" s="15"/>
    </row>
    <row r="679">
      <c r="D679" s="15"/>
      <c r="J679" s="15"/>
    </row>
    <row r="680">
      <c r="D680" s="15"/>
      <c r="J680" s="15"/>
    </row>
    <row r="681">
      <c r="D681" s="15"/>
      <c r="J681" s="15"/>
    </row>
    <row r="682">
      <c r="D682" s="15"/>
      <c r="J682" s="15"/>
    </row>
    <row r="683">
      <c r="D683" s="15"/>
      <c r="J683" s="15"/>
    </row>
    <row r="684">
      <c r="D684" s="15"/>
      <c r="J684" s="15"/>
    </row>
    <row r="685">
      <c r="D685" s="15"/>
      <c r="J685" s="15"/>
    </row>
    <row r="686">
      <c r="D686" s="15"/>
      <c r="J686" s="15"/>
    </row>
    <row r="687">
      <c r="D687" s="15"/>
      <c r="J687" s="15"/>
    </row>
    <row r="688">
      <c r="D688" s="15"/>
      <c r="J688" s="15"/>
    </row>
    <row r="689">
      <c r="D689" s="15"/>
      <c r="J689" s="15"/>
    </row>
    <row r="690">
      <c r="D690" s="15"/>
      <c r="J690" s="15"/>
    </row>
    <row r="691">
      <c r="D691" s="15"/>
      <c r="J691" s="15"/>
    </row>
    <row r="692">
      <c r="D692" s="15"/>
      <c r="J692" s="15"/>
    </row>
    <row r="693">
      <c r="D693" s="15"/>
      <c r="J693" s="15"/>
    </row>
    <row r="694">
      <c r="D694" s="15"/>
      <c r="J694" s="15"/>
    </row>
    <row r="695">
      <c r="D695" s="15"/>
      <c r="J695" s="15"/>
    </row>
    <row r="696">
      <c r="D696" s="15"/>
      <c r="J696" s="15"/>
    </row>
    <row r="697">
      <c r="D697" s="15"/>
      <c r="J697" s="15"/>
    </row>
    <row r="698">
      <c r="D698" s="15"/>
      <c r="J698" s="15"/>
    </row>
    <row r="699">
      <c r="D699" s="15"/>
      <c r="J699" s="15"/>
    </row>
    <row r="700">
      <c r="D700" s="15"/>
      <c r="J700" s="15"/>
    </row>
    <row r="701">
      <c r="D701" s="15"/>
      <c r="J701" s="15"/>
    </row>
    <row r="702">
      <c r="D702" s="15"/>
      <c r="J702" s="15"/>
    </row>
    <row r="703">
      <c r="D703" s="15"/>
      <c r="J703" s="15"/>
    </row>
    <row r="704">
      <c r="D704" s="15"/>
      <c r="J704" s="15"/>
    </row>
    <row r="705">
      <c r="D705" s="15"/>
      <c r="J705" s="15"/>
    </row>
    <row r="706">
      <c r="D706" s="15"/>
      <c r="J706" s="15"/>
    </row>
    <row r="707">
      <c r="D707" s="15"/>
      <c r="J707" s="15"/>
    </row>
    <row r="708">
      <c r="D708" s="15"/>
      <c r="J708" s="15"/>
    </row>
    <row r="709">
      <c r="D709" s="15"/>
      <c r="J709" s="15"/>
    </row>
    <row r="710">
      <c r="D710" s="15"/>
      <c r="J710" s="15"/>
    </row>
    <row r="711">
      <c r="D711" s="15"/>
      <c r="J711" s="15"/>
    </row>
    <row r="712">
      <c r="D712" s="15"/>
      <c r="J712" s="15"/>
    </row>
    <row r="713">
      <c r="D713" s="15"/>
      <c r="J713" s="15"/>
    </row>
    <row r="714">
      <c r="D714" s="15"/>
      <c r="J714" s="15"/>
    </row>
    <row r="715">
      <c r="D715" s="15"/>
      <c r="J715" s="15"/>
    </row>
    <row r="716">
      <c r="D716" s="15"/>
      <c r="J716" s="15"/>
    </row>
    <row r="717">
      <c r="D717" s="15"/>
      <c r="J717" s="15"/>
    </row>
    <row r="718">
      <c r="D718" s="15"/>
      <c r="J718" s="15"/>
    </row>
    <row r="719">
      <c r="D719" s="15"/>
      <c r="J719" s="15"/>
    </row>
    <row r="720">
      <c r="D720" s="15"/>
      <c r="J720" s="15"/>
    </row>
    <row r="721">
      <c r="D721" s="15"/>
      <c r="J721" s="15"/>
    </row>
    <row r="722">
      <c r="D722" s="15"/>
      <c r="J722" s="15"/>
    </row>
    <row r="723">
      <c r="D723" s="15"/>
      <c r="J723" s="15"/>
    </row>
    <row r="724">
      <c r="D724" s="15"/>
      <c r="J724" s="15"/>
    </row>
    <row r="725">
      <c r="D725" s="15"/>
      <c r="J725" s="15"/>
    </row>
    <row r="726">
      <c r="D726" s="15"/>
      <c r="J726" s="15"/>
    </row>
    <row r="727">
      <c r="D727" s="15"/>
      <c r="J727" s="15"/>
    </row>
    <row r="728">
      <c r="D728" s="15"/>
      <c r="J728" s="15"/>
    </row>
    <row r="729">
      <c r="D729" s="15"/>
      <c r="J729" s="15"/>
    </row>
    <row r="730">
      <c r="D730" s="15"/>
      <c r="J730" s="15"/>
    </row>
    <row r="731">
      <c r="D731" s="15"/>
      <c r="J731" s="15"/>
    </row>
    <row r="732">
      <c r="D732" s="15"/>
      <c r="J732" s="15"/>
    </row>
    <row r="733">
      <c r="D733" s="15"/>
      <c r="J733" s="15"/>
    </row>
    <row r="734">
      <c r="D734" s="15"/>
      <c r="J734" s="15"/>
    </row>
    <row r="735">
      <c r="D735" s="15"/>
      <c r="J735" s="15"/>
    </row>
    <row r="736">
      <c r="D736" s="15"/>
      <c r="J736" s="15"/>
    </row>
    <row r="737">
      <c r="D737" s="15"/>
      <c r="J737" s="15"/>
    </row>
    <row r="738">
      <c r="D738" s="15"/>
      <c r="J738" s="15"/>
    </row>
    <row r="739">
      <c r="D739" s="15"/>
      <c r="J739" s="15"/>
    </row>
    <row r="740">
      <c r="D740" s="15"/>
      <c r="J740" s="15"/>
    </row>
    <row r="741">
      <c r="D741" s="15"/>
      <c r="J741" s="15"/>
    </row>
    <row r="742">
      <c r="D742" s="15"/>
      <c r="J742" s="15"/>
    </row>
    <row r="743">
      <c r="D743" s="15"/>
      <c r="J743" s="15"/>
    </row>
    <row r="744">
      <c r="D744" s="15"/>
      <c r="J744" s="15"/>
    </row>
    <row r="745">
      <c r="D745" s="15"/>
      <c r="J745" s="15"/>
    </row>
    <row r="746">
      <c r="D746" s="15"/>
      <c r="J746" s="15"/>
    </row>
    <row r="747">
      <c r="D747" s="15"/>
      <c r="J747" s="15"/>
    </row>
    <row r="748">
      <c r="D748" s="15"/>
      <c r="J748" s="15"/>
    </row>
    <row r="749">
      <c r="D749" s="15"/>
      <c r="J749" s="15"/>
    </row>
    <row r="750">
      <c r="D750" s="15"/>
      <c r="J750" s="15"/>
    </row>
    <row r="751">
      <c r="D751" s="15"/>
      <c r="J751" s="15"/>
    </row>
    <row r="752">
      <c r="D752" s="15"/>
      <c r="J752" s="15"/>
    </row>
    <row r="753">
      <c r="D753" s="15"/>
      <c r="J753" s="15"/>
    </row>
    <row r="754">
      <c r="D754" s="15"/>
      <c r="J754" s="15"/>
    </row>
    <row r="755">
      <c r="D755" s="15"/>
      <c r="J755" s="15"/>
    </row>
    <row r="756">
      <c r="D756" s="15"/>
      <c r="J756" s="15"/>
    </row>
    <row r="757">
      <c r="D757" s="15"/>
      <c r="J757" s="15"/>
    </row>
    <row r="758">
      <c r="D758" s="15"/>
      <c r="J758" s="15"/>
    </row>
    <row r="759">
      <c r="D759" s="15"/>
      <c r="J759" s="15"/>
    </row>
    <row r="760">
      <c r="D760" s="15"/>
      <c r="J760" s="15"/>
    </row>
    <row r="761">
      <c r="D761" s="15"/>
      <c r="J761" s="15"/>
    </row>
    <row r="762">
      <c r="D762" s="15"/>
      <c r="J762" s="15"/>
    </row>
    <row r="763">
      <c r="D763" s="15"/>
      <c r="J763" s="15"/>
    </row>
    <row r="764">
      <c r="D764" s="15"/>
      <c r="J764" s="15"/>
    </row>
    <row r="765">
      <c r="D765" s="15"/>
      <c r="J765" s="15"/>
    </row>
    <row r="766">
      <c r="D766" s="15"/>
      <c r="J766" s="15"/>
    </row>
    <row r="767">
      <c r="D767" s="15"/>
      <c r="J767" s="15"/>
    </row>
    <row r="768">
      <c r="D768" s="15"/>
      <c r="J768" s="15"/>
    </row>
    <row r="769">
      <c r="D769" s="15"/>
      <c r="J769" s="15"/>
    </row>
    <row r="770">
      <c r="D770" s="15"/>
      <c r="J770" s="15"/>
    </row>
    <row r="771">
      <c r="D771" s="15"/>
      <c r="J771" s="15"/>
    </row>
    <row r="772">
      <c r="D772" s="15"/>
      <c r="J772" s="15"/>
    </row>
    <row r="773">
      <c r="D773" s="15"/>
      <c r="J773" s="15"/>
    </row>
    <row r="774">
      <c r="D774" s="15"/>
      <c r="J774" s="15"/>
    </row>
    <row r="775">
      <c r="D775" s="15"/>
      <c r="J775" s="15"/>
    </row>
    <row r="776">
      <c r="D776" s="15"/>
      <c r="J776" s="15"/>
    </row>
    <row r="777">
      <c r="D777" s="15"/>
      <c r="J777" s="15"/>
    </row>
    <row r="778">
      <c r="D778" s="15"/>
      <c r="J778" s="15"/>
    </row>
    <row r="779">
      <c r="D779" s="15"/>
      <c r="J779" s="15"/>
    </row>
    <row r="780">
      <c r="D780" s="15"/>
      <c r="J780" s="15"/>
    </row>
    <row r="781">
      <c r="D781" s="15"/>
      <c r="J781" s="15"/>
    </row>
    <row r="782">
      <c r="D782" s="15"/>
      <c r="J782" s="15"/>
    </row>
    <row r="783">
      <c r="D783" s="15"/>
      <c r="J783" s="15"/>
    </row>
    <row r="784">
      <c r="D784" s="15"/>
      <c r="J784" s="15"/>
    </row>
    <row r="785">
      <c r="D785" s="15"/>
      <c r="J785" s="15"/>
    </row>
    <row r="786">
      <c r="D786" s="15"/>
      <c r="J786" s="15"/>
    </row>
    <row r="787">
      <c r="D787" s="15"/>
      <c r="J787" s="15"/>
    </row>
    <row r="788">
      <c r="D788" s="15"/>
      <c r="J788" s="15"/>
    </row>
    <row r="789">
      <c r="D789" s="15"/>
      <c r="J789" s="15"/>
    </row>
    <row r="790">
      <c r="D790" s="15"/>
      <c r="J790" s="15"/>
    </row>
    <row r="791">
      <c r="D791" s="15"/>
      <c r="J791" s="15"/>
    </row>
    <row r="792">
      <c r="D792" s="15"/>
      <c r="J792" s="15"/>
    </row>
    <row r="793">
      <c r="D793" s="15"/>
      <c r="J793" s="15"/>
    </row>
    <row r="794">
      <c r="D794" s="15"/>
      <c r="J794" s="15"/>
    </row>
    <row r="795">
      <c r="D795" s="15"/>
      <c r="J795" s="15"/>
    </row>
    <row r="796">
      <c r="D796" s="15"/>
      <c r="J796" s="15"/>
    </row>
    <row r="797">
      <c r="D797" s="15"/>
      <c r="J797" s="15"/>
    </row>
    <row r="798">
      <c r="D798" s="15"/>
      <c r="J798" s="15"/>
    </row>
    <row r="799">
      <c r="D799" s="15"/>
      <c r="J799" s="15"/>
    </row>
    <row r="800">
      <c r="D800" s="15"/>
      <c r="J800" s="15"/>
    </row>
    <row r="801">
      <c r="D801" s="15"/>
      <c r="J801" s="15"/>
    </row>
    <row r="802">
      <c r="D802" s="15"/>
      <c r="J802" s="15"/>
    </row>
    <row r="803">
      <c r="D803" s="15"/>
      <c r="J803" s="15"/>
    </row>
    <row r="804">
      <c r="D804" s="15"/>
      <c r="J804" s="15"/>
    </row>
    <row r="805">
      <c r="D805" s="15"/>
      <c r="J805" s="15"/>
    </row>
    <row r="806">
      <c r="D806" s="15"/>
      <c r="J806" s="15"/>
    </row>
    <row r="807">
      <c r="D807" s="15"/>
      <c r="J807" s="15"/>
    </row>
    <row r="808">
      <c r="D808" s="15"/>
      <c r="J808" s="15"/>
    </row>
    <row r="809">
      <c r="D809" s="15"/>
      <c r="J809" s="15"/>
    </row>
    <row r="810">
      <c r="D810" s="15"/>
      <c r="J810" s="15"/>
    </row>
    <row r="811">
      <c r="D811" s="15"/>
      <c r="J811" s="15"/>
    </row>
    <row r="812">
      <c r="D812" s="15"/>
      <c r="J812" s="15"/>
    </row>
    <row r="813">
      <c r="D813" s="15"/>
      <c r="J813" s="15"/>
    </row>
    <row r="814">
      <c r="D814" s="15"/>
      <c r="J814" s="15"/>
    </row>
    <row r="815">
      <c r="D815" s="15"/>
      <c r="J815" s="15"/>
    </row>
    <row r="816">
      <c r="D816" s="15"/>
      <c r="J816" s="15"/>
    </row>
    <row r="817">
      <c r="D817" s="15"/>
      <c r="J817" s="15"/>
    </row>
    <row r="818">
      <c r="D818" s="15"/>
      <c r="J818" s="15"/>
    </row>
    <row r="819">
      <c r="D819" s="15"/>
      <c r="J819" s="15"/>
    </row>
    <row r="820">
      <c r="D820" s="15"/>
      <c r="J820" s="15"/>
    </row>
    <row r="821">
      <c r="D821" s="15"/>
      <c r="J821" s="15"/>
    </row>
    <row r="822">
      <c r="D822" s="15"/>
      <c r="J822" s="15"/>
    </row>
    <row r="823">
      <c r="D823" s="15"/>
      <c r="J823" s="15"/>
    </row>
    <row r="824">
      <c r="D824" s="15"/>
      <c r="J824" s="15"/>
    </row>
    <row r="825">
      <c r="D825" s="15"/>
      <c r="J825" s="15"/>
    </row>
    <row r="826">
      <c r="D826" s="15"/>
      <c r="J826" s="15"/>
    </row>
    <row r="827">
      <c r="D827" s="15"/>
      <c r="J827" s="15"/>
    </row>
    <row r="828">
      <c r="D828" s="15"/>
      <c r="J828" s="15"/>
    </row>
    <row r="829">
      <c r="D829" s="15"/>
      <c r="J829" s="15"/>
    </row>
    <row r="830">
      <c r="D830" s="15"/>
      <c r="J830" s="15"/>
    </row>
    <row r="831">
      <c r="D831" s="15"/>
      <c r="J831" s="15"/>
    </row>
    <row r="832">
      <c r="D832" s="15"/>
      <c r="J832" s="15"/>
    </row>
    <row r="833">
      <c r="D833" s="15"/>
      <c r="J833" s="15"/>
    </row>
    <row r="834">
      <c r="D834" s="15"/>
      <c r="J834" s="15"/>
    </row>
    <row r="835">
      <c r="D835" s="15"/>
      <c r="J835" s="15"/>
    </row>
    <row r="836">
      <c r="D836" s="15"/>
      <c r="J836" s="15"/>
    </row>
    <row r="837">
      <c r="D837" s="15"/>
      <c r="J837" s="15"/>
    </row>
    <row r="838">
      <c r="D838" s="15"/>
      <c r="J838" s="15"/>
    </row>
    <row r="839">
      <c r="D839" s="15"/>
      <c r="J839" s="15"/>
    </row>
    <row r="840">
      <c r="D840" s="15"/>
      <c r="J840" s="15"/>
    </row>
    <row r="841">
      <c r="D841" s="15"/>
      <c r="J841" s="15"/>
    </row>
    <row r="842">
      <c r="D842" s="15"/>
      <c r="J842" s="15"/>
    </row>
    <row r="843">
      <c r="D843" s="15"/>
      <c r="J843" s="15"/>
    </row>
    <row r="844">
      <c r="D844" s="15"/>
      <c r="J844" s="15"/>
    </row>
    <row r="845">
      <c r="D845" s="15"/>
      <c r="J845" s="15"/>
    </row>
    <row r="846">
      <c r="D846" s="15"/>
      <c r="J846" s="15"/>
    </row>
    <row r="847">
      <c r="D847" s="15"/>
      <c r="J847" s="15"/>
    </row>
    <row r="848">
      <c r="D848" s="15"/>
      <c r="J848" s="15"/>
    </row>
    <row r="849">
      <c r="D849" s="15"/>
      <c r="J849" s="15"/>
    </row>
    <row r="850">
      <c r="D850" s="15"/>
      <c r="J850" s="15"/>
    </row>
    <row r="851">
      <c r="D851" s="15"/>
      <c r="J851" s="15"/>
    </row>
    <row r="852">
      <c r="D852" s="15"/>
      <c r="J852" s="15"/>
    </row>
    <row r="853">
      <c r="D853" s="15"/>
      <c r="J853" s="15"/>
    </row>
    <row r="854">
      <c r="D854" s="15"/>
      <c r="J854" s="15"/>
    </row>
    <row r="855">
      <c r="D855" s="15"/>
      <c r="J855" s="15"/>
    </row>
    <row r="856">
      <c r="D856" s="15"/>
      <c r="J856" s="15"/>
    </row>
    <row r="857">
      <c r="D857" s="15"/>
      <c r="J857" s="15"/>
    </row>
    <row r="858">
      <c r="D858" s="15"/>
      <c r="J858" s="15"/>
    </row>
    <row r="859">
      <c r="D859" s="15"/>
      <c r="J859" s="15"/>
    </row>
    <row r="860">
      <c r="D860" s="15"/>
      <c r="J860" s="15"/>
    </row>
    <row r="861">
      <c r="D861" s="15"/>
      <c r="J861" s="15"/>
    </row>
    <row r="862">
      <c r="D862" s="15"/>
      <c r="J862" s="15"/>
    </row>
    <row r="863">
      <c r="D863" s="15"/>
      <c r="J863" s="15"/>
    </row>
    <row r="864">
      <c r="D864" s="15"/>
      <c r="J864" s="15"/>
    </row>
    <row r="865">
      <c r="D865" s="15"/>
      <c r="J865" s="15"/>
    </row>
    <row r="866">
      <c r="D866" s="15"/>
      <c r="J866" s="15"/>
    </row>
    <row r="867">
      <c r="D867" s="15"/>
      <c r="J867" s="15"/>
    </row>
    <row r="868">
      <c r="D868" s="15"/>
      <c r="J868" s="15"/>
    </row>
    <row r="869">
      <c r="D869" s="15"/>
      <c r="J869" s="15"/>
    </row>
    <row r="870">
      <c r="D870" s="15"/>
      <c r="J870" s="15"/>
    </row>
    <row r="871">
      <c r="D871" s="15"/>
      <c r="J871" s="15"/>
    </row>
    <row r="872">
      <c r="D872" s="15"/>
      <c r="J872" s="15"/>
    </row>
    <row r="873">
      <c r="D873" s="15"/>
      <c r="J873" s="15"/>
    </row>
    <row r="874">
      <c r="D874" s="15"/>
      <c r="J874" s="15"/>
    </row>
    <row r="875">
      <c r="D875" s="15"/>
      <c r="J875" s="15"/>
    </row>
    <row r="876">
      <c r="D876" s="15"/>
      <c r="J876" s="15"/>
    </row>
    <row r="877">
      <c r="D877" s="15"/>
      <c r="J877" s="15"/>
    </row>
    <row r="878">
      <c r="D878" s="15"/>
      <c r="J878" s="15"/>
    </row>
    <row r="879">
      <c r="D879" s="15"/>
      <c r="J879" s="15"/>
    </row>
    <row r="880">
      <c r="D880" s="15"/>
      <c r="J880" s="15"/>
    </row>
    <row r="881">
      <c r="D881" s="15"/>
      <c r="J881" s="15"/>
    </row>
    <row r="882">
      <c r="D882" s="15"/>
      <c r="J882" s="15"/>
    </row>
    <row r="883">
      <c r="D883" s="15"/>
      <c r="J883" s="15"/>
    </row>
    <row r="884">
      <c r="D884" s="15"/>
      <c r="J884" s="15"/>
    </row>
    <row r="885">
      <c r="D885" s="15"/>
      <c r="J885" s="15"/>
    </row>
    <row r="886">
      <c r="D886" s="15"/>
      <c r="J886" s="15"/>
    </row>
    <row r="887">
      <c r="D887" s="15"/>
      <c r="J887" s="15"/>
    </row>
    <row r="888">
      <c r="D888" s="15"/>
      <c r="J888" s="15"/>
    </row>
    <row r="889">
      <c r="D889" s="15"/>
      <c r="J889" s="15"/>
    </row>
    <row r="890">
      <c r="D890" s="15"/>
      <c r="J890" s="15"/>
    </row>
    <row r="891">
      <c r="D891" s="15"/>
      <c r="J891" s="15"/>
    </row>
    <row r="892">
      <c r="D892" s="15"/>
      <c r="J892" s="15"/>
    </row>
    <row r="893">
      <c r="D893" s="15"/>
      <c r="J893" s="15"/>
    </row>
    <row r="894">
      <c r="D894" s="15"/>
      <c r="J894" s="15"/>
    </row>
    <row r="895">
      <c r="D895" s="15"/>
      <c r="J895" s="15"/>
    </row>
    <row r="896">
      <c r="D896" s="15"/>
      <c r="J896" s="15"/>
    </row>
    <row r="897">
      <c r="D897" s="15"/>
      <c r="J897" s="15"/>
    </row>
    <row r="898">
      <c r="D898" s="15"/>
      <c r="J898" s="15"/>
    </row>
    <row r="899">
      <c r="D899" s="15"/>
      <c r="J899" s="15"/>
    </row>
    <row r="900">
      <c r="D900" s="15"/>
      <c r="J900" s="15"/>
    </row>
    <row r="901">
      <c r="D901" s="15"/>
      <c r="J901" s="15"/>
    </row>
    <row r="902">
      <c r="D902" s="15"/>
      <c r="J902" s="15"/>
    </row>
    <row r="903">
      <c r="D903" s="15"/>
      <c r="J903" s="15"/>
    </row>
    <row r="904">
      <c r="D904" s="15"/>
      <c r="J904" s="15"/>
    </row>
    <row r="905">
      <c r="D905" s="15"/>
      <c r="J905" s="15"/>
    </row>
    <row r="906">
      <c r="D906" s="15"/>
      <c r="J906" s="15"/>
    </row>
    <row r="907">
      <c r="D907" s="15"/>
      <c r="J907" s="15"/>
    </row>
    <row r="908">
      <c r="D908" s="15"/>
      <c r="J908" s="15"/>
    </row>
    <row r="909">
      <c r="D909" s="15"/>
      <c r="J909" s="15"/>
    </row>
    <row r="910">
      <c r="D910" s="15"/>
      <c r="J910" s="15"/>
    </row>
    <row r="911">
      <c r="D911" s="15"/>
      <c r="J911" s="15"/>
    </row>
    <row r="912">
      <c r="D912" s="15"/>
      <c r="J912" s="15"/>
    </row>
    <row r="913">
      <c r="D913" s="15"/>
      <c r="J913" s="15"/>
    </row>
    <row r="914">
      <c r="D914" s="15"/>
      <c r="J914" s="15"/>
    </row>
    <row r="915">
      <c r="D915" s="15"/>
      <c r="J915" s="15"/>
    </row>
    <row r="916">
      <c r="D916" s="15"/>
      <c r="J916" s="15"/>
    </row>
    <row r="917">
      <c r="D917" s="15"/>
      <c r="J917" s="15"/>
    </row>
    <row r="918">
      <c r="D918" s="15"/>
      <c r="J918" s="15"/>
    </row>
    <row r="919">
      <c r="D919" s="15"/>
      <c r="J919" s="15"/>
    </row>
    <row r="920">
      <c r="D920" s="15"/>
      <c r="J920" s="15"/>
    </row>
    <row r="921">
      <c r="D921" s="15"/>
      <c r="J921" s="15"/>
    </row>
    <row r="922">
      <c r="D922" s="15"/>
      <c r="J922" s="15"/>
    </row>
    <row r="923">
      <c r="D923" s="15"/>
      <c r="J923" s="15"/>
    </row>
    <row r="924">
      <c r="D924" s="15"/>
      <c r="J924" s="15"/>
    </row>
    <row r="925">
      <c r="D925" s="15"/>
      <c r="J925" s="15"/>
    </row>
    <row r="926">
      <c r="D926" s="15"/>
      <c r="J926" s="15"/>
    </row>
    <row r="927">
      <c r="D927" s="15"/>
      <c r="J927" s="15"/>
    </row>
    <row r="928">
      <c r="D928" s="15"/>
      <c r="J928" s="15"/>
    </row>
    <row r="929">
      <c r="D929" s="15"/>
      <c r="J929" s="15"/>
    </row>
    <row r="930">
      <c r="D930" s="15"/>
      <c r="J930" s="15"/>
    </row>
    <row r="931">
      <c r="D931" s="15"/>
      <c r="J931" s="15"/>
    </row>
    <row r="932">
      <c r="D932" s="15"/>
      <c r="J932" s="15"/>
    </row>
    <row r="933">
      <c r="D933" s="15"/>
      <c r="J933" s="15"/>
    </row>
    <row r="934">
      <c r="D934" s="15"/>
      <c r="J934" s="15"/>
    </row>
    <row r="935">
      <c r="D935" s="15"/>
      <c r="J935" s="15"/>
    </row>
    <row r="936">
      <c r="D936" s="15"/>
      <c r="J936" s="15"/>
    </row>
    <row r="937">
      <c r="D937" s="15"/>
      <c r="J937" s="15"/>
    </row>
    <row r="938">
      <c r="D938" s="15"/>
      <c r="J938" s="15"/>
    </row>
    <row r="939">
      <c r="D939" s="15"/>
      <c r="J939" s="15"/>
    </row>
    <row r="940">
      <c r="D940" s="15"/>
      <c r="J940" s="15"/>
    </row>
    <row r="941">
      <c r="D941" s="15"/>
      <c r="J941" s="15"/>
    </row>
    <row r="942">
      <c r="D942" s="15"/>
      <c r="J942" s="15"/>
    </row>
    <row r="943">
      <c r="D943" s="15"/>
      <c r="J943" s="15"/>
    </row>
    <row r="944">
      <c r="D944" s="15"/>
      <c r="J944" s="15"/>
    </row>
    <row r="945">
      <c r="D945" s="15"/>
      <c r="J945" s="15"/>
    </row>
    <row r="946">
      <c r="D946" s="15"/>
      <c r="J946" s="15"/>
    </row>
    <row r="947">
      <c r="D947" s="15"/>
      <c r="J947" s="15"/>
    </row>
    <row r="948">
      <c r="D948" s="15"/>
      <c r="J948" s="15"/>
    </row>
    <row r="949">
      <c r="D949" s="15"/>
      <c r="J949" s="15"/>
    </row>
    <row r="950">
      <c r="D950" s="15"/>
      <c r="J950" s="15"/>
    </row>
    <row r="951">
      <c r="D951" s="15"/>
      <c r="J951" s="15"/>
    </row>
    <row r="952">
      <c r="D952" s="15"/>
      <c r="J952" s="15"/>
    </row>
    <row r="953">
      <c r="D953" s="15"/>
      <c r="J953" s="15"/>
    </row>
    <row r="954">
      <c r="D954" s="15"/>
      <c r="J954" s="15"/>
    </row>
    <row r="955">
      <c r="D955" s="15"/>
      <c r="J955" s="15"/>
    </row>
    <row r="956">
      <c r="D956" s="15"/>
      <c r="J956" s="15"/>
    </row>
    <row r="957">
      <c r="D957" s="15"/>
      <c r="J957" s="15"/>
    </row>
    <row r="958">
      <c r="D958" s="15"/>
      <c r="J958" s="15"/>
    </row>
    <row r="959">
      <c r="D959" s="15"/>
      <c r="J959" s="15"/>
    </row>
    <row r="960">
      <c r="D960" s="15"/>
      <c r="J960" s="15"/>
    </row>
    <row r="961">
      <c r="D961" s="15"/>
      <c r="J961" s="15"/>
    </row>
    <row r="962">
      <c r="D962" s="15"/>
      <c r="J962" s="15"/>
    </row>
    <row r="963">
      <c r="D963" s="15"/>
      <c r="J963" s="15"/>
    </row>
    <row r="964">
      <c r="D964" s="15"/>
      <c r="J964" s="15"/>
    </row>
    <row r="965">
      <c r="D965" s="15"/>
      <c r="J965" s="15"/>
    </row>
    <row r="966">
      <c r="D966" s="15"/>
      <c r="J966" s="15"/>
    </row>
    <row r="967">
      <c r="D967" s="15"/>
      <c r="J967" s="15"/>
    </row>
    <row r="968">
      <c r="D968" s="15"/>
      <c r="J968" s="15"/>
    </row>
    <row r="969">
      <c r="D969" s="15"/>
      <c r="J969" s="15"/>
    </row>
    <row r="970">
      <c r="D970" s="15"/>
      <c r="J970" s="15"/>
    </row>
    <row r="971">
      <c r="D971" s="15"/>
      <c r="J971" s="15"/>
    </row>
    <row r="972">
      <c r="D972" s="15"/>
      <c r="J972" s="15"/>
    </row>
    <row r="973">
      <c r="D973" s="15"/>
      <c r="J973" s="15"/>
    </row>
    <row r="974">
      <c r="D974" s="15"/>
      <c r="J974" s="15"/>
    </row>
    <row r="975">
      <c r="D975" s="15"/>
      <c r="J975" s="15"/>
    </row>
    <row r="976">
      <c r="D976" s="15"/>
      <c r="J976" s="15"/>
    </row>
    <row r="977">
      <c r="D977" s="15"/>
      <c r="J977" s="15"/>
    </row>
    <row r="978">
      <c r="D978" s="15"/>
      <c r="J978" s="15"/>
    </row>
    <row r="979">
      <c r="D979" s="15"/>
      <c r="J979" s="15"/>
    </row>
    <row r="980">
      <c r="D980" s="15"/>
      <c r="J980" s="15"/>
    </row>
    <row r="981">
      <c r="D981" s="15"/>
      <c r="J981" s="15"/>
    </row>
    <row r="982">
      <c r="D982" s="15"/>
      <c r="J982" s="15"/>
    </row>
    <row r="983">
      <c r="D983" s="15"/>
      <c r="J983" s="15"/>
    </row>
    <row r="984">
      <c r="D984" s="15"/>
      <c r="J984" s="15"/>
    </row>
    <row r="985">
      <c r="D985" s="15"/>
      <c r="J985" s="15"/>
    </row>
    <row r="986">
      <c r="D986" s="15"/>
      <c r="J986" s="15"/>
    </row>
    <row r="987">
      <c r="D987" s="15"/>
      <c r="J987" s="15"/>
    </row>
    <row r="988">
      <c r="D988" s="15"/>
      <c r="J988" s="15"/>
    </row>
    <row r="989">
      <c r="D989" s="15"/>
      <c r="J989" s="15"/>
    </row>
    <row r="990">
      <c r="D990" s="15"/>
      <c r="J990" s="15"/>
    </row>
    <row r="991">
      <c r="D991" s="15"/>
      <c r="J991" s="15"/>
    </row>
    <row r="992">
      <c r="D992" s="15"/>
      <c r="J992" s="15"/>
    </row>
    <row r="993">
      <c r="D993" s="15"/>
      <c r="J993" s="15"/>
    </row>
    <row r="994">
      <c r="D994" s="15"/>
      <c r="J994" s="15"/>
    </row>
    <row r="995">
      <c r="D995" s="15"/>
      <c r="J995" s="15"/>
    </row>
    <row r="996">
      <c r="D996" s="15"/>
      <c r="J996" s="15"/>
    </row>
    <row r="997">
      <c r="D997" s="15"/>
      <c r="J997" s="15"/>
    </row>
    <row r="998">
      <c r="D998" s="15"/>
      <c r="J998" s="15"/>
    </row>
    <row r="999">
      <c r="D999" s="15"/>
      <c r="J999" s="15"/>
    </row>
    <row r="1000">
      <c r="D1000" s="15"/>
      <c r="J1000" s="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63"/>
    <col customWidth="1" hidden="1" min="5" max="5" width="15.25"/>
    <col customWidth="1" hidden="1" min="6" max="6" width="18.0"/>
    <col customWidth="1" hidden="1" min="7" max="7" width="22.5"/>
    <col hidden="1" min="8" max="8" width="12.63"/>
    <col customWidth="1" hidden="1" min="9" max="9" width="30.88"/>
    <col customWidth="1" min="10" max="10" width="22.25"/>
  </cols>
  <sheetData>
    <row r="1">
      <c r="A1" s="99" t="s">
        <v>48</v>
      </c>
      <c r="B1" s="99" t="s">
        <v>5</v>
      </c>
      <c r="C1" s="99" t="s">
        <v>3</v>
      </c>
      <c r="D1" s="99" t="s">
        <v>1932</v>
      </c>
      <c r="E1" s="116" t="s">
        <v>1934</v>
      </c>
      <c r="F1" s="116" t="s">
        <v>1935</v>
      </c>
      <c r="G1" s="116" t="s">
        <v>1936</v>
      </c>
      <c r="H1" s="116" t="s">
        <v>1937</v>
      </c>
      <c r="I1" s="116" t="s">
        <v>1938</v>
      </c>
      <c r="J1" s="186" t="s">
        <v>2048</v>
      </c>
      <c r="K1" s="114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</row>
    <row r="2">
      <c r="A2" s="119">
        <v>46143.0</v>
      </c>
      <c r="B2" s="116" t="s">
        <v>2050</v>
      </c>
      <c r="C2" s="106" t="s">
        <v>1432</v>
      </c>
      <c r="D2" s="116">
        <v>11.0</v>
      </c>
      <c r="E2" s="114"/>
      <c r="F2" s="115">
        <f>SUM(D2:E13)</f>
        <v>1313</v>
      </c>
      <c r="G2" s="116" t="s">
        <v>1942</v>
      </c>
      <c r="H2" s="119">
        <v>46142.0</v>
      </c>
      <c r="I2" s="116" t="s">
        <v>2051</v>
      </c>
      <c r="J2" s="189">
        <f>SUM(D2:D16)</f>
        <v>153</v>
      </c>
      <c r="K2" s="114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</row>
    <row r="3">
      <c r="A3" s="119">
        <v>46143.0</v>
      </c>
      <c r="B3" s="116" t="s">
        <v>1943</v>
      </c>
      <c r="C3" s="106" t="s">
        <v>1432</v>
      </c>
      <c r="D3" s="116">
        <v>4.0</v>
      </c>
      <c r="G3" s="116" t="s">
        <v>1942</v>
      </c>
      <c r="H3" s="119">
        <v>46143.0</v>
      </c>
    </row>
    <row r="4">
      <c r="A4" s="119">
        <v>46143.0</v>
      </c>
      <c r="B4" s="116" t="s">
        <v>74</v>
      </c>
      <c r="C4" s="106" t="s">
        <v>1432</v>
      </c>
      <c r="D4" s="116">
        <v>8.0</v>
      </c>
      <c r="G4" s="116" t="s">
        <v>1942</v>
      </c>
      <c r="H4" s="119">
        <v>46143.0</v>
      </c>
      <c r="I4" s="190" t="s">
        <v>2052</v>
      </c>
    </row>
    <row r="5">
      <c r="A5" s="134">
        <v>46148.0</v>
      </c>
      <c r="B5" s="125" t="s">
        <v>1946</v>
      </c>
      <c r="C5" s="106" t="s">
        <v>1432</v>
      </c>
      <c r="D5" s="125">
        <v>16.0</v>
      </c>
      <c r="E5" s="104"/>
      <c r="F5" s="111" t="s">
        <v>2053</v>
      </c>
      <c r="G5" s="116" t="s">
        <v>2054</v>
      </c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</row>
    <row r="6">
      <c r="A6" s="134">
        <v>46149.0</v>
      </c>
      <c r="B6" s="125" t="s">
        <v>1946</v>
      </c>
      <c r="C6" s="125" t="s">
        <v>1432</v>
      </c>
      <c r="D6" s="125">
        <v>15.0</v>
      </c>
      <c r="E6" s="149">
        <v>900.0</v>
      </c>
      <c r="G6" s="138" t="s">
        <v>1950</v>
      </c>
    </row>
    <row r="7">
      <c r="A7" s="134">
        <v>46149.0</v>
      </c>
      <c r="B7" s="125" t="s">
        <v>74</v>
      </c>
      <c r="C7" s="125" t="s">
        <v>1432</v>
      </c>
      <c r="D7" s="125">
        <v>7.0</v>
      </c>
      <c r="E7" s="113"/>
      <c r="G7" s="138" t="s">
        <v>1950</v>
      </c>
    </row>
    <row r="8">
      <c r="A8" s="134">
        <v>46149.0</v>
      </c>
      <c r="B8" s="106" t="s">
        <v>2049</v>
      </c>
      <c r="C8" s="125" t="s">
        <v>1432</v>
      </c>
      <c r="D8" s="125">
        <v>3.0</v>
      </c>
      <c r="E8" s="136">
        <v>300.0</v>
      </c>
      <c r="G8" s="138" t="s">
        <v>1950</v>
      </c>
    </row>
    <row r="9">
      <c r="A9" s="134">
        <v>46149.0</v>
      </c>
      <c r="B9" s="125" t="s">
        <v>1941</v>
      </c>
      <c r="C9" s="125" t="s">
        <v>1432</v>
      </c>
      <c r="D9" s="125">
        <v>1.0</v>
      </c>
    </row>
    <row r="10">
      <c r="A10" s="145">
        <v>46150.0</v>
      </c>
      <c r="B10" s="125" t="s">
        <v>1946</v>
      </c>
      <c r="C10" s="125" t="s">
        <v>1432</v>
      </c>
      <c r="D10" s="125">
        <v>12.0</v>
      </c>
    </row>
    <row r="11">
      <c r="A11" s="145">
        <v>46150.0</v>
      </c>
      <c r="B11" s="125" t="s">
        <v>74</v>
      </c>
      <c r="C11" s="125" t="s">
        <v>1432</v>
      </c>
      <c r="D11" s="125">
        <v>1.0</v>
      </c>
    </row>
    <row r="12">
      <c r="A12" s="105">
        <v>46153.0</v>
      </c>
      <c r="B12" s="125" t="s">
        <v>1946</v>
      </c>
      <c r="C12" s="125" t="s">
        <v>1432</v>
      </c>
      <c r="D12" s="125">
        <v>10.0</v>
      </c>
      <c r="E12" s="106">
        <v>10.0</v>
      </c>
    </row>
    <row r="13">
      <c r="A13" s="105">
        <v>46154.0</v>
      </c>
      <c r="B13" s="125" t="s">
        <v>1946</v>
      </c>
      <c r="C13" s="125" t="s">
        <v>1432</v>
      </c>
      <c r="D13" s="106">
        <v>15.0</v>
      </c>
    </row>
    <row r="14">
      <c r="A14" s="105">
        <v>46155.0</v>
      </c>
      <c r="B14" s="125" t="s">
        <v>1946</v>
      </c>
      <c r="C14" s="125" t="s">
        <v>1432</v>
      </c>
      <c r="D14" s="106">
        <v>20.0</v>
      </c>
    </row>
    <row r="15">
      <c r="A15" s="145">
        <v>46156.0</v>
      </c>
      <c r="B15" s="125" t="s">
        <v>1946</v>
      </c>
      <c r="C15" s="125" t="s">
        <v>1432</v>
      </c>
      <c r="D15" s="125">
        <v>19.0</v>
      </c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</row>
    <row r="16">
      <c r="A16" s="134">
        <v>46157.0</v>
      </c>
      <c r="B16" s="125" t="s">
        <v>1946</v>
      </c>
      <c r="C16" s="125" t="s">
        <v>1432</v>
      </c>
      <c r="D16" s="125">
        <v>11.0</v>
      </c>
    </row>
    <row r="17">
      <c r="B17" s="15"/>
    </row>
    <row r="18">
      <c r="B18" s="15"/>
    </row>
    <row r="19">
      <c r="B19" s="15"/>
    </row>
    <row r="20">
      <c r="B20" s="15"/>
    </row>
    <row r="21">
      <c r="B21" s="15"/>
    </row>
    <row r="22">
      <c r="B22" s="15"/>
    </row>
    <row r="23">
      <c r="B23" s="15"/>
    </row>
    <row r="24">
      <c r="B24" s="15"/>
    </row>
    <row r="25">
      <c r="B25" s="15"/>
    </row>
    <row r="26">
      <c r="B26" s="15"/>
    </row>
    <row r="27">
      <c r="B27" s="15"/>
    </row>
    <row r="28">
      <c r="B28" s="15"/>
    </row>
    <row r="29">
      <c r="B29" s="15"/>
    </row>
    <row r="30">
      <c r="B30" s="15"/>
    </row>
    <row r="31">
      <c r="B31" s="15"/>
    </row>
    <row r="32">
      <c r="B32" s="15"/>
    </row>
    <row r="33">
      <c r="B33" s="15"/>
    </row>
    <row r="34">
      <c r="B34" s="15"/>
    </row>
    <row r="35">
      <c r="B35" s="15"/>
    </row>
    <row r="36">
      <c r="B36" s="15"/>
    </row>
    <row r="37">
      <c r="B37" s="15"/>
    </row>
    <row r="38">
      <c r="B38" s="15"/>
    </row>
    <row r="39">
      <c r="B39" s="15"/>
    </row>
    <row r="40">
      <c r="B40" s="15"/>
    </row>
    <row r="41">
      <c r="B41" s="15"/>
    </row>
    <row r="42">
      <c r="B42" s="15"/>
    </row>
    <row r="43">
      <c r="B43" s="15"/>
    </row>
    <row r="44">
      <c r="B44" s="15"/>
    </row>
    <row r="45">
      <c r="B45" s="15"/>
    </row>
    <row r="46">
      <c r="B46" s="15"/>
    </row>
    <row r="47">
      <c r="B47" s="15"/>
    </row>
    <row r="48">
      <c r="B48" s="15"/>
    </row>
    <row r="49">
      <c r="B49" s="15"/>
    </row>
    <row r="50">
      <c r="B50" s="15"/>
    </row>
    <row r="51">
      <c r="B51" s="15"/>
    </row>
    <row r="52">
      <c r="B52" s="15"/>
    </row>
    <row r="53">
      <c r="B53" s="15"/>
    </row>
    <row r="54">
      <c r="B54" s="15"/>
    </row>
    <row r="55">
      <c r="B55" s="15"/>
    </row>
    <row r="56">
      <c r="B56" s="15"/>
    </row>
    <row r="57">
      <c r="B57" s="15"/>
    </row>
    <row r="58">
      <c r="B58" s="15"/>
    </row>
    <row r="59">
      <c r="B59" s="15"/>
    </row>
    <row r="60">
      <c r="B60" s="15"/>
    </row>
    <row r="61">
      <c r="B61" s="15"/>
    </row>
    <row r="62">
      <c r="B62" s="15"/>
    </row>
    <row r="63">
      <c r="B63" s="15"/>
    </row>
    <row r="64">
      <c r="B64" s="15"/>
    </row>
    <row r="65">
      <c r="B65" s="15"/>
    </row>
    <row r="66">
      <c r="B66" s="15"/>
    </row>
    <row r="67">
      <c r="B67" s="15"/>
    </row>
    <row r="68">
      <c r="B68" s="15"/>
    </row>
    <row r="69">
      <c r="B69" s="15"/>
    </row>
    <row r="70">
      <c r="B70" s="15"/>
    </row>
    <row r="71">
      <c r="B71" s="15"/>
    </row>
    <row r="72">
      <c r="B72" s="15"/>
    </row>
    <row r="73">
      <c r="B73" s="15"/>
    </row>
    <row r="74">
      <c r="B74" s="15"/>
    </row>
    <row r="75">
      <c r="B75" s="15"/>
    </row>
    <row r="76">
      <c r="B76" s="15"/>
    </row>
    <row r="77">
      <c r="B77" s="15"/>
    </row>
    <row r="78">
      <c r="B78" s="15"/>
    </row>
    <row r="79">
      <c r="B79" s="15"/>
    </row>
    <row r="80">
      <c r="B80" s="15"/>
    </row>
    <row r="81">
      <c r="B81" s="15"/>
    </row>
    <row r="82">
      <c r="B82" s="15"/>
    </row>
    <row r="83">
      <c r="B83" s="15"/>
    </row>
    <row r="84">
      <c r="B84" s="15"/>
    </row>
    <row r="85">
      <c r="B85" s="15"/>
    </row>
    <row r="86">
      <c r="B86" s="15"/>
    </row>
    <row r="87">
      <c r="B87" s="15"/>
    </row>
    <row r="88">
      <c r="B88" s="15"/>
    </row>
    <row r="89">
      <c r="B89" s="15"/>
    </row>
    <row r="90">
      <c r="B90" s="15"/>
    </row>
    <row r="91">
      <c r="B91" s="15"/>
    </row>
    <row r="92">
      <c r="B92" s="15"/>
    </row>
    <row r="93">
      <c r="B93" s="15"/>
    </row>
    <row r="94">
      <c r="B94" s="15"/>
    </row>
    <row r="95">
      <c r="B95" s="15"/>
    </row>
    <row r="96">
      <c r="B96" s="15"/>
    </row>
    <row r="97">
      <c r="B97" s="15"/>
    </row>
    <row r="98">
      <c r="B98" s="15"/>
    </row>
    <row r="99">
      <c r="B99" s="15"/>
    </row>
    <row r="100">
      <c r="B100" s="15"/>
    </row>
    <row r="101">
      <c r="B101" s="15"/>
    </row>
    <row r="102">
      <c r="B102" s="15"/>
    </row>
    <row r="103">
      <c r="B103" s="15"/>
    </row>
    <row r="104">
      <c r="B104" s="15"/>
    </row>
    <row r="105">
      <c r="B105" s="15"/>
    </row>
    <row r="106">
      <c r="B106" s="15"/>
    </row>
    <row r="107">
      <c r="B107" s="15"/>
    </row>
    <row r="108">
      <c r="B108" s="15"/>
    </row>
    <row r="109">
      <c r="B109" s="15"/>
    </row>
    <row r="110">
      <c r="B110" s="15"/>
    </row>
    <row r="111">
      <c r="B111" s="15"/>
    </row>
    <row r="112">
      <c r="B112" s="15"/>
    </row>
    <row r="113">
      <c r="B113" s="15"/>
    </row>
    <row r="114">
      <c r="B114" s="15"/>
    </row>
    <row r="115">
      <c r="B115" s="15"/>
    </row>
    <row r="116">
      <c r="B116" s="15"/>
    </row>
    <row r="117">
      <c r="B117" s="15"/>
    </row>
    <row r="118">
      <c r="B118" s="15"/>
    </row>
    <row r="119">
      <c r="B119" s="15"/>
    </row>
    <row r="120">
      <c r="B120" s="15"/>
    </row>
    <row r="121">
      <c r="B121" s="15"/>
    </row>
    <row r="122">
      <c r="B122" s="15"/>
    </row>
    <row r="123">
      <c r="B123" s="15"/>
    </row>
    <row r="124">
      <c r="B124" s="15"/>
    </row>
    <row r="125">
      <c r="B125" s="15"/>
    </row>
    <row r="126">
      <c r="B126" s="15"/>
    </row>
    <row r="127">
      <c r="B127" s="15"/>
    </row>
    <row r="128">
      <c r="B128" s="15"/>
    </row>
    <row r="129">
      <c r="B129" s="15"/>
    </row>
    <row r="130">
      <c r="B130" s="15"/>
    </row>
    <row r="131">
      <c r="B131" s="15"/>
    </row>
    <row r="132">
      <c r="B132" s="15"/>
    </row>
    <row r="133">
      <c r="B133" s="15"/>
    </row>
    <row r="134">
      <c r="B134" s="15"/>
    </row>
    <row r="135">
      <c r="B135" s="15"/>
    </row>
    <row r="136">
      <c r="B136" s="15"/>
    </row>
    <row r="137">
      <c r="B137" s="15"/>
    </row>
    <row r="138">
      <c r="B138" s="15"/>
    </row>
    <row r="139">
      <c r="B139" s="15"/>
    </row>
    <row r="140">
      <c r="B140" s="15"/>
    </row>
    <row r="141">
      <c r="B141" s="15"/>
    </row>
    <row r="142">
      <c r="B142" s="15"/>
    </row>
    <row r="143">
      <c r="B143" s="15"/>
    </row>
    <row r="144">
      <c r="B144" s="15"/>
    </row>
    <row r="145">
      <c r="B145" s="15"/>
    </row>
    <row r="146">
      <c r="B146" s="15"/>
    </row>
    <row r="147">
      <c r="B147" s="15"/>
    </row>
    <row r="148">
      <c r="B148" s="15"/>
    </row>
    <row r="149">
      <c r="B149" s="15"/>
    </row>
    <row r="150">
      <c r="B150" s="15"/>
    </row>
    <row r="151">
      <c r="B151" s="15"/>
    </row>
    <row r="152">
      <c r="B152" s="15"/>
    </row>
    <row r="153">
      <c r="B153" s="15"/>
    </row>
    <row r="154">
      <c r="B154" s="15"/>
    </row>
    <row r="155">
      <c r="B155" s="15"/>
    </row>
    <row r="156">
      <c r="B156" s="15"/>
    </row>
    <row r="157">
      <c r="B157" s="15"/>
    </row>
    <row r="158">
      <c r="B158" s="15"/>
    </row>
    <row r="159">
      <c r="B159" s="15"/>
    </row>
    <row r="160">
      <c r="B160" s="15"/>
    </row>
    <row r="161">
      <c r="B161" s="15"/>
    </row>
    <row r="162">
      <c r="B162" s="15"/>
    </row>
    <row r="163">
      <c r="B163" s="15"/>
    </row>
    <row r="164">
      <c r="B164" s="15"/>
    </row>
    <row r="165">
      <c r="B165" s="15"/>
    </row>
    <row r="166">
      <c r="B166" s="15"/>
    </row>
    <row r="167">
      <c r="B167" s="15"/>
    </row>
    <row r="168">
      <c r="B168" s="15"/>
    </row>
    <row r="169">
      <c r="B169" s="15"/>
    </row>
    <row r="170">
      <c r="B170" s="15"/>
    </row>
    <row r="171">
      <c r="B171" s="15"/>
    </row>
    <row r="172">
      <c r="B172" s="15"/>
    </row>
    <row r="173">
      <c r="B173" s="15"/>
    </row>
    <row r="174">
      <c r="B174" s="15"/>
    </row>
    <row r="175">
      <c r="B175" s="15"/>
    </row>
    <row r="176">
      <c r="B176" s="15"/>
    </row>
    <row r="177">
      <c r="B177" s="15"/>
    </row>
    <row r="178">
      <c r="B178" s="15"/>
    </row>
    <row r="179">
      <c r="B179" s="15"/>
    </row>
    <row r="180">
      <c r="B180" s="15"/>
    </row>
    <row r="181">
      <c r="B181" s="15"/>
    </row>
    <row r="182">
      <c r="B182" s="15"/>
    </row>
    <row r="183">
      <c r="B183" s="15"/>
    </row>
    <row r="184">
      <c r="B184" s="15"/>
    </row>
    <row r="185">
      <c r="B185" s="15"/>
    </row>
    <row r="186">
      <c r="B186" s="15"/>
    </row>
    <row r="187">
      <c r="B187" s="15"/>
    </row>
    <row r="188">
      <c r="B188" s="15"/>
    </row>
    <row r="189">
      <c r="B189" s="15"/>
    </row>
    <row r="190">
      <c r="B190" s="15"/>
    </row>
    <row r="191">
      <c r="B191" s="15"/>
    </row>
    <row r="192">
      <c r="B192" s="15"/>
    </row>
    <row r="193">
      <c r="B193" s="15"/>
    </row>
    <row r="194">
      <c r="B194" s="15"/>
    </row>
    <row r="195">
      <c r="B195" s="15"/>
    </row>
    <row r="196">
      <c r="B196" s="15"/>
    </row>
    <row r="197">
      <c r="B197" s="15"/>
    </row>
    <row r="198">
      <c r="B198" s="15"/>
    </row>
    <row r="199">
      <c r="B199" s="15"/>
    </row>
    <row r="200">
      <c r="B200" s="15"/>
    </row>
    <row r="201">
      <c r="B201" s="15"/>
    </row>
    <row r="202">
      <c r="B202" s="15"/>
    </row>
    <row r="203">
      <c r="B203" s="15"/>
    </row>
    <row r="204">
      <c r="B204" s="15"/>
    </row>
    <row r="205">
      <c r="B205" s="15"/>
    </row>
    <row r="206">
      <c r="B206" s="15"/>
    </row>
    <row r="207">
      <c r="B207" s="15"/>
    </row>
    <row r="208">
      <c r="B208" s="15"/>
    </row>
    <row r="209">
      <c r="B209" s="15"/>
    </row>
    <row r="210">
      <c r="B210" s="15"/>
    </row>
    <row r="211">
      <c r="B211" s="15"/>
    </row>
    <row r="212">
      <c r="B212" s="15"/>
    </row>
    <row r="213">
      <c r="B213" s="15"/>
    </row>
    <row r="214">
      <c r="B214" s="15"/>
    </row>
    <row r="215">
      <c r="B215" s="15"/>
    </row>
    <row r="216">
      <c r="B216" s="15"/>
    </row>
    <row r="217">
      <c r="B217" s="15"/>
    </row>
    <row r="218">
      <c r="B218" s="15"/>
    </row>
    <row r="219">
      <c r="B219" s="15"/>
    </row>
    <row r="220">
      <c r="B220" s="15"/>
    </row>
    <row r="221">
      <c r="B221" s="15"/>
    </row>
    <row r="222">
      <c r="B222" s="15"/>
    </row>
    <row r="223">
      <c r="B223" s="15"/>
    </row>
    <row r="224">
      <c r="B224" s="15"/>
    </row>
    <row r="225">
      <c r="B225" s="15"/>
    </row>
    <row r="226">
      <c r="B226" s="15"/>
    </row>
    <row r="227">
      <c r="B227" s="15"/>
    </row>
    <row r="228">
      <c r="B228" s="15"/>
    </row>
    <row r="229">
      <c r="B229" s="15"/>
    </row>
    <row r="230">
      <c r="B230" s="15"/>
    </row>
    <row r="231">
      <c r="B231" s="15"/>
    </row>
    <row r="232">
      <c r="B232" s="15"/>
    </row>
    <row r="233">
      <c r="B233" s="15"/>
    </row>
    <row r="234">
      <c r="B234" s="15"/>
    </row>
    <row r="235">
      <c r="B235" s="15"/>
    </row>
    <row r="236">
      <c r="B236" s="15"/>
    </row>
    <row r="237">
      <c r="B237" s="15"/>
    </row>
    <row r="238">
      <c r="B238" s="15"/>
    </row>
    <row r="239">
      <c r="B239" s="15"/>
    </row>
    <row r="240">
      <c r="B240" s="15"/>
    </row>
    <row r="241">
      <c r="B241" s="15"/>
    </row>
    <row r="242">
      <c r="B242" s="15"/>
    </row>
    <row r="243">
      <c r="B243" s="15"/>
    </row>
    <row r="244">
      <c r="B244" s="15"/>
    </row>
    <row r="245">
      <c r="B245" s="15"/>
    </row>
    <row r="246">
      <c r="B246" s="15"/>
    </row>
    <row r="247">
      <c r="B247" s="15"/>
    </row>
    <row r="248">
      <c r="B248" s="15"/>
    </row>
    <row r="249">
      <c r="B249" s="15"/>
    </row>
    <row r="250">
      <c r="B250" s="15"/>
    </row>
    <row r="251">
      <c r="B251" s="15"/>
    </row>
    <row r="252">
      <c r="B252" s="15"/>
    </row>
    <row r="253">
      <c r="B253" s="15"/>
    </row>
    <row r="254">
      <c r="B254" s="15"/>
    </row>
    <row r="255">
      <c r="B255" s="15"/>
    </row>
    <row r="256">
      <c r="B256" s="15"/>
    </row>
    <row r="257">
      <c r="B257" s="15"/>
    </row>
    <row r="258">
      <c r="B258" s="15"/>
    </row>
    <row r="259">
      <c r="B259" s="15"/>
    </row>
    <row r="260">
      <c r="B260" s="15"/>
    </row>
    <row r="261">
      <c r="B261" s="15"/>
    </row>
    <row r="262">
      <c r="B262" s="15"/>
    </row>
    <row r="263">
      <c r="B263" s="15"/>
    </row>
    <row r="264">
      <c r="B264" s="15"/>
    </row>
    <row r="265">
      <c r="B265" s="15"/>
    </row>
    <row r="266">
      <c r="B266" s="15"/>
    </row>
    <row r="267">
      <c r="B267" s="15"/>
    </row>
    <row r="268">
      <c r="B268" s="15"/>
    </row>
    <row r="269">
      <c r="B269" s="15"/>
    </row>
    <row r="270">
      <c r="B270" s="15"/>
    </row>
    <row r="271">
      <c r="B271" s="15"/>
    </row>
    <row r="272">
      <c r="B272" s="15"/>
    </row>
    <row r="273">
      <c r="B273" s="15"/>
    </row>
    <row r="274">
      <c r="B274" s="15"/>
    </row>
    <row r="275">
      <c r="B275" s="15"/>
    </row>
    <row r="276">
      <c r="B276" s="15"/>
    </row>
    <row r="277">
      <c r="B277" s="15"/>
    </row>
    <row r="278">
      <c r="B278" s="15"/>
    </row>
    <row r="279">
      <c r="B279" s="15"/>
    </row>
    <row r="280">
      <c r="B280" s="15"/>
    </row>
    <row r="281">
      <c r="B281" s="15"/>
    </row>
    <row r="282">
      <c r="B282" s="15"/>
    </row>
    <row r="283">
      <c r="B283" s="15"/>
    </row>
    <row r="284">
      <c r="B284" s="15"/>
    </row>
    <row r="285">
      <c r="B285" s="15"/>
    </row>
    <row r="286">
      <c r="B286" s="15"/>
    </row>
    <row r="287">
      <c r="B287" s="15"/>
    </row>
    <row r="288">
      <c r="B288" s="15"/>
    </row>
    <row r="289">
      <c r="B289" s="15"/>
    </row>
    <row r="290">
      <c r="B290" s="15"/>
    </row>
    <row r="291">
      <c r="B291" s="15"/>
    </row>
    <row r="292">
      <c r="B292" s="15"/>
    </row>
    <row r="293">
      <c r="B293" s="15"/>
    </row>
    <row r="294">
      <c r="B294" s="15"/>
    </row>
    <row r="295">
      <c r="B295" s="15"/>
    </row>
    <row r="296">
      <c r="B296" s="15"/>
    </row>
    <row r="297">
      <c r="B297" s="15"/>
    </row>
    <row r="298">
      <c r="B298" s="15"/>
    </row>
    <row r="299">
      <c r="B299" s="15"/>
    </row>
    <row r="300">
      <c r="B300" s="15"/>
    </row>
    <row r="301">
      <c r="B301" s="15"/>
    </row>
    <row r="302">
      <c r="B302" s="15"/>
    </row>
    <row r="303">
      <c r="B303" s="15"/>
    </row>
    <row r="304">
      <c r="B304" s="15"/>
    </row>
    <row r="305">
      <c r="B305" s="15"/>
    </row>
    <row r="306">
      <c r="B306" s="15"/>
    </row>
    <row r="307">
      <c r="B307" s="15"/>
    </row>
    <row r="308">
      <c r="B308" s="15"/>
    </row>
    <row r="309">
      <c r="B309" s="15"/>
    </row>
    <row r="310">
      <c r="B310" s="15"/>
    </row>
    <row r="311">
      <c r="B311" s="15"/>
    </row>
    <row r="312">
      <c r="B312" s="15"/>
    </row>
    <row r="313">
      <c r="B313" s="15"/>
    </row>
    <row r="314">
      <c r="B314" s="15"/>
    </row>
    <row r="315">
      <c r="B315" s="15"/>
    </row>
    <row r="316">
      <c r="B316" s="15"/>
    </row>
    <row r="317">
      <c r="B317" s="15"/>
    </row>
    <row r="318">
      <c r="B318" s="15"/>
    </row>
    <row r="319">
      <c r="B319" s="15"/>
    </row>
    <row r="320">
      <c r="B320" s="15"/>
    </row>
    <row r="321">
      <c r="B321" s="15"/>
    </row>
    <row r="322">
      <c r="B322" s="15"/>
    </row>
    <row r="323">
      <c r="B323" s="15"/>
    </row>
    <row r="324">
      <c r="B324" s="15"/>
    </row>
    <row r="325">
      <c r="B325" s="15"/>
    </row>
    <row r="326">
      <c r="B326" s="15"/>
    </row>
    <row r="327">
      <c r="B327" s="15"/>
    </row>
    <row r="328">
      <c r="B328" s="15"/>
    </row>
    <row r="329">
      <c r="B329" s="15"/>
    </row>
    <row r="330">
      <c r="B330" s="15"/>
    </row>
    <row r="331">
      <c r="B331" s="15"/>
    </row>
    <row r="332">
      <c r="B332" s="15"/>
    </row>
    <row r="333">
      <c r="B333" s="15"/>
    </row>
    <row r="334">
      <c r="B334" s="15"/>
    </row>
    <row r="335">
      <c r="B335" s="15"/>
    </row>
    <row r="336">
      <c r="B336" s="15"/>
    </row>
    <row r="337">
      <c r="B337" s="15"/>
    </row>
    <row r="338">
      <c r="B338" s="15"/>
    </row>
    <row r="339">
      <c r="B339" s="15"/>
    </row>
    <row r="340">
      <c r="B340" s="15"/>
    </row>
    <row r="341">
      <c r="B341" s="15"/>
    </row>
    <row r="342">
      <c r="B342" s="15"/>
    </row>
    <row r="343">
      <c r="B343" s="15"/>
    </row>
    <row r="344">
      <c r="B344" s="15"/>
    </row>
    <row r="345">
      <c r="B345" s="15"/>
    </row>
    <row r="346">
      <c r="B346" s="15"/>
    </row>
    <row r="347">
      <c r="B347" s="15"/>
    </row>
    <row r="348">
      <c r="B348" s="15"/>
    </row>
    <row r="349">
      <c r="B349" s="15"/>
    </row>
    <row r="350">
      <c r="B350" s="15"/>
    </row>
    <row r="351">
      <c r="B351" s="15"/>
    </row>
    <row r="352">
      <c r="B352" s="15"/>
    </row>
    <row r="353">
      <c r="B353" s="15"/>
    </row>
    <row r="354">
      <c r="B354" s="15"/>
    </row>
    <row r="355">
      <c r="B355" s="15"/>
    </row>
    <row r="356">
      <c r="B356" s="15"/>
    </row>
    <row r="357">
      <c r="B357" s="15"/>
    </row>
    <row r="358">
      <c r="B358" s="15"/>
    </row>
    <row r="359">
      <c r="B359" s="15"/>
    </row>
    <row r="360">
      <c r="B360" s="15"/>
    </row>
    <row r="361">
      <c r="B361" s="15"/>
    </row>
    <row r="362">
      <c r="B362" s="15"/>
    </row>
    <row r="363">
      <c r="B363" s="15"/>
    </row>
    <row r="364">
      <c r="B364" s="15"/>
    </row>
    <row r="365">
      <c r="B365" s="15"/>
    </row>
    <row r="366">
      <c r="B366" s="15"/>
    </row>
    <row r="367">
      <c r="B367" s="15"/>
    </row>
    <row r="368">
      <c r="B368" s="15"/>
    </row>
    <row r="369">
      <c r="B369" s="15"/>
    </row>
    <row r="370">
      <c r="B370" s="15"/>
    </row>
    <row r="371">
      <c r="B371" s="15"/>
    </row>
    <row r="372">
      <c r="B372" s="15"/>
    </row>
    <row r="373">
      <c r="B373" s="15"/>
    </row>
    <row r="374">
      <c r="B374" s="15"/>
    </row>
    <row r="375">
      <c r="B375" s="15"/>
    </row>
    <row r="376">
      <c r="B376" s="15"/>
    </row>
    <row r="377">
      <c r="B377" s="15"/>
    </row>
    <row r="378">
      <c r="B378" s="15"/>
    </row>
    <row r="379">
      <c r="B379" s="15"/>
    </row>
    <row r="380">
      <c r="B380" s="15"/>
    </row>
    <row r="381">
      <c r="B381" s="15"/>
    </row>
    <row r="382">
      <c r="B382" s="15"/>
    </row>
    <row r="383">
      <c r="B383" s="15"/>
    </row>
    <row r="384">
      <c r="B384" s="15"/>
    </row>
    <row r="385">
      <c r="B385" s="15"/>
    </row>
    <row r="386">
      <c r="B386" s="15"/>
    </row>
    <row r="387">
      <c r="B387" s="15"/>
    </row>
    <row r="388">
      <c r="B388" s="15"/>
    </row>
    <row r="389">
      <c r="B389" s="15"/>
    </row>
    <row r="390">
      <c r="B390" s="15"/>
    </row>
    <row r="391">
      <c r="B391" s="15"/>
    </row>
    <row r="392">
      <c r="B392" s="15"/>
    </row>
    <row r="393">
      <c r="B393" s="15"/>
    </row>
    <row r="394">
      <c r="B394" s="15"/>
    </row>
    <row r="395">
      <c r="B395" s="15"/>
    </row>
    <row r="396">
      <c r="B396" s="15"/>
    </row>
    <row r="397">
      <c r="B397" s="15"/>
    </row>
    <row r="398">
      <c r="B398" s="15"/>
    </row>
    <row r="399">
      <c r="B399" s="15"/>
    </row>
    <row r="400">
      <c r="B400" s="15"/>
    </row>
    <row r="401">
      <c r="B401" s="15"/>
    </row>
    <row r="402">
      <c r="B402" s="15"/>
    </row>
    <row r="403">
      <c r="B403" s="15"/>
    </row>
    <row r="404">
      <c r="B404" s="15"/>
    </row>
    <row r="405">
      <c r="B405" s="15"/>
    </row>
    <row r="406">
      <c r="B406" s="15"/>
    </row>
    <row r="407">
      <c r="B407" s="15"/>
    </row>
    <row r="408">
      <c r="B408" s="15"/>
    </row>
    <row r="409">
      <c r="B409" s="15"/>
    </row>
    <row r="410">
      <c r="B410" s="15"/>
    </row>
    <row r="411">
      <c r="B411" s="15"/>
    </row>
    <row r="412">
      <c r="B412" s="15"/>
    </row>
    <row r="413">
      <c r="B413" s="15"/>
    </row>
    <row r="414">
      <c r="B414" s="15"/>
    </row>
    <row r="415">
      <c r="B415" s="15"/>
    </row>
    <row r="416">
      <c r="B416" s="15"/>
    </row>
    <row r="417">
      <c r="B417" s="15"/>
    </row>
    <row r="418">
      <c r="B418" s="15"/>
    </row>
    <row r="419">
      <c r="B419" s="15"/>
    </row>
    <row r="420">
      <c r="B420" s="15"/>
    </row>
    <row r="421">
      <c r="B421" s="15"/>
    </row>
    <row r="422">
      <c r="B422" s="15"/>
    </row>
    <row r="423">
      <c r="B423" s="15"/>
    </row>
    <row r="424">
      <c r="B424" s="15"/>
    </row>
    <row r="425">
      <c r="B425" s="15"/>
    </row>
    <row r="426">
      <c r="B426" s="15"/>
    </row>
    <row r="427">
      <c r="B427" s="15"/>
    </row>
    <row r="428">
      <c r="B428" s="15"/>
    </row>
    <row r="429">
      <c r="B429" s="15"/>
    </row>
    <row r="430">
      <c r="B430" s="15"/>
    </row>
    <row r="431">
      <c r="B431" s="15"/>
    </row>
    <row r="432">
      <c r="B432" s="15"/>
    </row>
    <row r="433">
      <c r="B433" s="15"/>
    </row>
    <row r="434">
      <c r="B434" s="15"/>
    </row>
    <row r="435">
      <c r="B435" s="15"/>
    </row>
    <row r="436">
      <c r="B436" s="15"/>
    </row>
    <row r="437">
      <c r="B437" s="15"/>
    </row>
    <row r="438">
      <c r="B438" s="15"/>
    </row>
    <row r="439">
      <c r="B439" s="15"/>
    </row>
    <row r="440">
      <c r="B440" s="15"/>
    </row>
    <row r="441">
      <c r="B441" s="15"/>
    </row>
    <row r="442">
      <c r="B442" s="15"/>
    </row>
    <row r="443">
      <c r="B443" s="15"/>
    </row>
    <row r="444">
      <c r="B444" s="15"/>
    </row>
    <row r="445">
      <c r="B445" s="15"/>
    </row>
    <row r="446">
      <c r="B446" s="15"/>
    </row>
    <row r="447">
      <c r="B447" s="15"/>
    </row>
    <row r="448">
      <c r="B448" s="15"/>
    </row>
    <row r="449">
      <c r="B449" s="15"/>
    </row>
    <row r="450">
      <c r="B450" s="15"/>
    </row>
    <row r="451">
      <c r="B451" s="15"/>
    </row>
    <row r="452">
      <c r="B452" s="15"/>
    </row>
    <row r="453">
      <c r="B453" s="15"/>
    </row>
    <row r="454">
      <c r="B454" s="15"/>
    </row>
    <row r="455">
      <c r="B455" s="15"/>
    </row>
    <row r="456">
      <c r="B456" s="15"/>
    </row>
    <row r="457">
      <c r="B457" s="15"/>
    </row>
    <row r="458">
      <c r="B458" s="15"/>
    </row>
    <row r="459">
      <c r="B459" s="15"/>
    </row>
    <row r="460">
      <c r="B460" s="15"/>
    </row>
    <row r="461">
      <c r="B461" s="15"/>
    </row>
    <row r="462">
      <c r="B462" s="15"/>
    </row>
    <row r="463">
      <c r="B463" s="15"/>
    </row>
    <row r="464">
      <c r="B464" s="15"/>
    </row>
    <row r="465">
      <c r="B465" s="15"/>
    </row>
    <row r="466">
      <c r="B466" s="15"/>
    </row>
    <row r="467">
      <c r="B467" s="15"/>
    </row>
    <row r="468">
      <c r="B468" s="15"/>
    </row>
    <row r="469">
      <c r="B469" s="15"/>
    </row>
    <row r="470">
      <c r="B470" s="15"/>
    </row>
    <row r="471">
      <c r="B471" s="15"/>
    </row>
    <row r="472">
      <c r="B472" s="15"/>
    </row>
    <row r="473">
      <c r="B473" s="15"/>
    </row>
    <row r="474">
      <c r="B474" s="15"/>
    </row>
    <row r="475">
      <c r="B475" s="15"/>
    </row>
    <row r="476">
      <c r="B476" s="15"/>
    </row>
    <row r="477">
      <c r="B477" s="15"/>
    </row>
    <row r="478">
      <c r="B478" s="15"/>
    </row>
    <row r="479">
      <c r="B479" s="15"/>
    </row>
    <row r="480">
      <c r="B480" s="15"/>
    </row>
    <row r="481">
      <c r="B481" s="15"/>
    </row>
    <row r="482">
      <c r="B482" s="15"/>
    </row>
    <row r="483">
      <c r="B483" s="15"/>
    </row>
    <row r="484">
      <c r="B484" s="15"/>
    </row>
    <row r="485">
      <c r="B485" s="15"/>
    </row>
    <row r="486">
      <c r="B486" s="15"/>
    </row>
    <row r="487">
      <c r="B487" s="15"/>
    </row>
    <row r="488">
      <c r="B488" s="15"/>
    </row>
    <row r="489">
      <c r="B489" s="15"/>
    </row>
    <row r="490">
      <c r="B490" s="15"/>
    </row>
    <row r="491">
      <c r="B491" s="15"/>
    </row>
    <row r="492">
      <c r="B492" s="15"/>
    </row>
    <row r="493">
      <c r="B493" s="15"/>
    </row>
    <row r="494">
      <c r="B494" s="15"/>
    </row>
    <row r="495">
      <c r="B495" s="15"/>
    </row>
    <row r="496">
      <c r="B496" s="15"/>
    </row>
    <row r="497">
      <c r="B497" s="15"/>
    </row>
    <row r="498">
      <c r="B498" s="15"/>
    </row>
    <row r="499">
      <c r="B499" s="15"/>
    </row>
    <row r="500">
      <c r="B500" s="15"/>
    </row>
    <row r="501">
      <c r="B501" s="15"/>
    </row>
    <row r="502">
      <c r="B502" s="15"/>
    </row>
    <row r="503">
      <c r="B503" s="15"/>
    </row>
    <row r="504">
      <c r="B504" s="15"/>
    </row>
    <row r="505">
      <c r="B505" s="15"/>
    </row>
    <row r="506">
      <c r="B506" s="15"/>
    </row>
    <row r="507">
      <c r="B507" s="15"/>
    </row>
    <row r="508">
      <c r="B508" s="15"/>
    </row>
    <row r="509">
      <c r="B509" s="15"/>
    </row>
    <row r="510">
      <c r="B510" s="15"/>
    </row>
    <row r="511">
      <c r="B511" s="15"/>
    </row>
    <row r="512">
      <c r="B512" s="15"/>
    </row>
    <row r="513">
      <c r="B513" s="15"/>
    </row>
    <row r="514">
      <c r="B514" s="15"/>
    </row>
    <row r="515">
      <c r="B515" s="15"/>
    </row>
    <row r="516">
      <c r="B516" s="15"/>
    </row>
    <row r="517">
      <c r="B517" s="15"/>
    </row>
    <row r="518">
      <c r="B518" s="15"/>
    </row>
    <row r="519">
      <c r="B519" s="15"/>
    </row>
    <row r="520">
      <c r="B520" s="15"/>
    </row>
    <row r="521">
      <c r="B521" s="15"/>
    </row>
    <row r="522">
      <c r="B522" s="15"/>
    </row>
    <row r="523">
      <c r="B523" s="15"/>
    </row>
    <row r="524">
      <c r="B524" s="15"/>
    </row>
    <row r="525">
      <c r="B525" s="15"/>
    </row>
    <row r="526">
      <c r="B526" s="15"/>
    </row>
    <row r="527">
      <c r="B527" s="15"/>
    </row>
    <row r="528">
      <c r="B528" s="15"/>
    </row>
    <row r="529">
      <c r="B529" s="15"/>
    </row>
    <row r="530">
      <c r="B530" s="15"/>
    </row>
    <row r="531">
      <c r="B531" s="15"/>
    </row>
    <row r="532">
      <c r="B532" s="15"/>
    </row>
    <row r="533">
      <c r="B533" s="15"/>
    </row>
    <row r="534">
      <c r="B534" s="15"/>
    </row>
    <row r="535">
      <c r="B535" s="15"/>
    </row>
    <row r="536">
      <c r="B536" s="15"/>
    </row>
    <row r="537">
      <c r="B537" s="15"/>
    </row>
    <row r="538">
      <c r="B538" s="15"/>
    </row>
    <row r="539">
      <c r="B539" s="15"/>
    </row>
    <row r="540">
      <c r="B540" s="15"/>
    </row>
    <row r="541">
      <c r="B541" s="15"/>
    </row>
    <row r="542">
      <c r="B542" s="15"/>
    </row>
    <row r="543">
      <c r="B543" s="15"/>
    </row>
    <row r="544">
      <c r="B544" s="15"/>
    </row>
    <row r="545">
      <c r="B545" s="15"/>
    </row>
    <row r="546">
      <c r="B546" s="15"/>
    </row>
    <row r="547">
      <c r="B547" s="15"/>
    </row>
    <row r="548">
      <c r="B548" s="15"/>
    </row>
    <row r="549">
      <c r="B549" s="15"/>
    </row>
    <row r="550">
      <c r="B550" s="15"/>
    </row>
    <row r="551">
      <c r="B551" s="15"/>
    </row>
    <row r="552">
      <c r="B552" s="15"/>
    </row>
    <row r="553">
      <c r="B553" s="15"/>
    </row>
    <row r="554">
      <c r="B554" s="15"/>
    </row>
    <row r="555">
      <c r="B555" s="15"/>
    </row>
    <row r="556">
      <c r="B556" s="15"/>
    </row>
    <row r="557">
      <c r="B557" s="15"/>
    </row>
    <row r="558">
      <c r="B558" s="15"/>
    </row>
    <row r="559">
      <c r="B559" s="15"/>
    </row>
    <row r="560">
      <c r="B560" s="15"/>
    </row>
    <row r="561">
      <c r="B561" s="15"/>
    </row>
    <row r="562">
      <c r="B562" s="15"/>
    </row>
    <row r="563">
      <c r="B563" s="15"/>
    </row>
    <row r="564">
      <c r="B564" s="15"/>
    </row>
    <row r="565">
      <c r="B565" s="15"/>
    </row>
    <row r="566">
      <c r="B566" s="15"/>
    </row>
    <row r="567">
      <c r="B567" s="15"/>
    </row>
    <row r="568">
      <c r="B568" s="15"/>
    </row>
    <row r="569">
      <c r="B569" s="15"/>
    </row>
    <row r="570">
      <c r="B570" s="15"/>
    </row>
    <row r="571">
      <c r="B571" s="15"/>
    </row>
    <row r="572">
      <c r="B572" s="15"/>
    </row>
    <row r="573">
      <c r="B573" s="15"/>
    </row>
    <row r="574">
      <c r="B574" s="15"/>
    </row>
    <row r="575">
      <c r="B575" s="15"/>
    </row>
    <row r="576">
      <c r="B576" s="15"/>
    </row>
    <row r="577">
      <c r="B577" s="15"/>
    </row>
    <row r="578">
      <c r="B578" s="15"/>
    </row>
    <row r="579">
      <c r="B579" s="15"/>
    </row>
    <row r="580">
      <c r="B580" s="15"/>
    </row>
    <row r="581">
      <c r="B581" s="15"/>
    </row>
    <row r="582">
      <c r="B582" s="15"/>
    </row>
    <row r="583">
      <c r="B583" s="15"/>
    </row>
    <row r="584">
      <c r="B584" s="15"/>
    </row>
    <row r="585">
      <c r="B585" s="15"/>
    </row>
    <row r="586">
      <c r="B586" s="15"/>
    </row>
    <row r="587">
      <c r="B587" s="15"/>
    </row>
    <row r="588">
      <c r="B588" s="15"/>
    </row>
    <row r="589">
      <c r="B589" s="15"/>
    </row>
    <row r="590">
      <c r="B590" s="15"/>
    </row>
    <row r="591">
      <c r="B591" s="15"/>
    </row>
    <row r="592">
      <c r="B592" s="15"/>
    </row>
    <row r="593">
      <c r="B593" s="15"/>
    </row>
    <row r="594">
      <c r="B594" s="15"/>
    </row>
    <row r="595">
      <c r="B595" s="15"/>
    </row>
    <row r="596">
      <c r="B596" s="15"/>
    </row>
    <row r="597">
      <c r="B597" s="15"/>
    </row>
    <row r="598">
      <c r="B598" s="15"/>
    </row>
    <row r="599">
      <c r="B599" s="15"/>
    </row>
    <row r="600">
      <c r="B600" s="15"/>
    </row>
    <row r="601">
      <c r="B601" s="15"/>
    </row>
    <row r="602">
      <c r="B602" s="15"/>
    </row>
    <row r="603">
      <c r="B603" s="15"/>
    </row>
    <row r="604">
      <c r="B604" s="15"/>
    </row>
    <row r="605">
      <c r="B605" s="15"/>
    </row>
    <row r="606">
      <c r="B606" s="15"/>
    </row>
    <row r="607">
      <c r="B607" s="15"/>
    </row>
    <row r="608">
      <c r="B608" s="15"/>
    </row>
    <row r="609">
      <c r="B609" s="15"/>
    </row>
    <row r="610">
      <c r="B610" s="15"/>
    </row>
    <row r="611">
      <c r="B611" s="15"/>
    </row>
    <row r="612">
      <c r="B612" s="15"/>
    </row>
    <row r="613">
      <c r="B613" s="15"/>
    </row>
    <row r="614">
      <c r="B614" s="15"/>
    </row>
    <row r="615">
      <c r="B615" s="15"/>
    </row>
    <row r="616">
      <c r="B616" s="15"/>
    </row>
    <row r="617">
      <c r="B617" s="15"/>
    </row>
    <row r="618">
      <c r="B618" s="15"/>
    </row>
    <row r="619">
      <c r="B619" s="15"/>
    </row>
    <row r="620">
      <c r="B620" s="15"/>
    </row>
    <row r="621">
      <c r="B621" s="15"/>
    </row>
    <row r="622">
      <c r="B622" s="15"/>
    </row>
    <row r="623">
      <c r="B623" s="15"/>
    </row>
    <row r="624">
      <c r="B624" s="15"/>
    </row>
    <row r="625">
      <c r="B625" s="15"/>
    </row>
    <row r="626">
      <c r="B626" s="15"/>
    </row>
    <row r="627">
      <c r="B627" s="15"/>
    </row>
    <row r="628">
      <c r="B628" s="15"/>
    </row>
    <row r="629">
      <c r="B629" s="15"/>
    </row>
    <row r="630">
      <c r="B630" s="15"/>
    </row>
    <row r="631">
      <c r="B631" s="15"/>
    </row>
    <row r="632">
      <c r="B632" s="15"/>
    </row>
    <row r="633">
      <c r="B633" s="15"/>
    </row>
    <row r="634">
      <c r="B634" s="15"/>
    </row>
    <row r="635">
      <c r="B635" s="15"/>
    </row>
    <row r="636">
      <c r="B636" s="15"/>
    </row>
    <row r="637">
      <c r="B637" s="15"/>
    </row>
    <row r="638">
      <c r="B638" s="15"/>
    </row>
    <row r="639">
      <c r="B639" s="15"/>
    </row>
    <row r="640">
      <c r="B640" s="15"/>
    </row>
    <row r="641">
      <c r="B641" s="15"/>
    </row>
    <row r="642">
      <c r="B642" s="15"/>
    </row>
    <row r="643">
      <c r="B643" s="15"/>
    </row>
    <row r="644">
      <c r="B644" s="15"/>
    </row>
    <row r="645">
      <c r="B645" s="15"/>
    </row>
    <row r="646">
      <c r="B646" s="15"/>
    </row>
    <row r="647">
      <c r="B647" s="15"/>
    </row>
    <row r="648">
      <c r="B648" s="15"/>
    </row>
    <row r="649">
      <c r="B649" s="15"/>
    </row>
    <row r="650">
      <c r="B650" s="15"/>
    </row>
    <row r="651">
      <c r="B651" s="15"/>
    </row>
    <row r="652">
      <c r="B652" s="15"/>
    </row>
    <row r="653">
      <c r="B653" s="15"/>
    </row>
    <row r="654">
      <c r="B654" s="15"/>
    </row>
    <row r="655">
      <c r="B655" s="15"/>
    </row>
    <row r="656">
      <c r="B656" s="15"/>
    </row>
    <row r="657">
      <c r="B657" s="15"/>
    </row>
    <row r="658">
      <c r="B658" s="15"/>
    </row>
    <row r="659">
      <c r="B659" s="15"/>
    </row>
    <row r="660">
      <c r="B660" s="15"/>
    </row>
    <row r="661">
      <c r="B661" s="15"/>
    </row>
    <row r="662">
      <c r="B662" s="15"/>
    </row>
    <row r="663">
      <c r="B663" s="15"/>
    </row>
    <row r="664">
      <c r="B664" s="15"/>
    </row>
    <row r="665">
      <c r="B665" s="15"/>
    </row>
    <row r="666">
      <c r="B666" s="15"/>
    </row>
    <row r="667">
      <c r="B667" s="15"/>
    </row>
    <row r="668">
      <c r="B668" s="15"/>
    </row>
    <row r="669">
      <c r="B669" s="15"/>
    </row>
    <row r="670">
      <c r="B670" s="15"/>
    </row>
    <row r="671">
      <c r="B671" s="15"/>
    </row>
    <row r="672">
      <c r="B672" s="15"/>
    </row>
    <row r="673">
      <c r="B673" s="15"/>
    </row>
    <row r="674">
      <c r="B674" s="15"/>
    </row>
    <row r="675">
      <c r="B675" s="15"/>
    </row>
    <row r="676">
      <c r="B676" s="15"/>
    </row>
    <row r="677">
      <c r="B677" s="15"/>
    </row>
    <row r="678">
      <c r="B678" s="15"/>
    </row>
    <row r="679">
      <c r="B679" s="15"/>
    </row>
    <row r="680">
      <c r="B680" s="15"/>
    </row>
    <row r="681">
      <c r="B681" s="15"/>
    </row>
    <row r="682">
      <c r="B682" s="15"/>
    </row>
    <row r="683">
      <c r="B683" s="15"/>
    </row>
    <row r="684">
      <c r="B684" s="15"/>
    </row>
    <row r="685">
      <c r="B685" s="15"/>
    </row>
    <row r="686">
      <c r="B686" s="15"/>
    </row>
    <row r="687">
      <c r="B687" s="15"/>
    </row>
    <row r="688">
      <c r="B688" s="15"/>
    </row>
    <row r="689">
      <c r="B689" s="15"/>
    </row>
    <row r="690">
      <c r="B690" s="15"/>
    </row>
    <row r="691">
      <c r="B691" s="15"/>
    </row>
    <row r="692">
      <c r="B692" s="15"/>
    </row>
    <row r="693">
      <c r="B693" s="15"/>
    </row>
    <row r="694">
      <c r="B694" s="15"/>
    </row>
    <row r="695">
      <c r="B695" s="15"/>
    </row>
    <row r="696">
      <c r="B696" s="15"/>
    </row>
    <row r="697">
      <c r="B697" s="15"/>
    </row>
    <row r="698">
      <c r="B698" s="15"/>
    </row>
    <row r="699">
      <c r="B699" s="15"/>
    </row>
    <row r="700">
      <c r="B700" s="15"/>
    </row>
    <row r="701">
      <c r="B701" s="15"/>
    </row>
    <row r="702">
      <c r="B702" s="15"/>
    </row>
    <row r="703">
      <c r="B703" s="15"/>
    </row>
    <row r="704">
      <c r="B704" s="15"/>
    </row>
    <row r="705">
      <c r="B705" s="15"/>
    </row>
    <row r="706">
      <c r="B706" s="15"/>
    </row>
    <row r="707">
      <c r="B707" s="15"/>
    </row>
    <row r="708">
      <c r="B708" s="15"/>
    </row>
    <row r="709">
      <c r="B709" s="15"/>
    </row>
    <row r="710">
      <c r="B710" s="15"/>
    </row>
    <row r="711">
      <c r="B711" s="15"/>
    </row>
    <row r="712">
      <c r="B712" s="15"/>
    </row>
    <row r="713">
      <c r="B713" s="15"/>
    </row>
    <row r="714">
      <c r="B714" s="15"/>
    </row>
    <row r="715">
      <c r="B715" s="15"/>
    </row>
    <row r="716">
      <c r="B716" s="15"/>
    </row>
    <row r="717">
      <c r="B717" s="15"/>
    </row>
    <row r="718">
      <c r="B718" s="15"/>
    </row>
    <row r="719">
      <c r="B719" s="15"/>
    </row>
    <row r="720">
      <c r="B720" s="15"/>
    </row>
    <row r="721">
      <c r="B721" s="15"/>
    </row>
    <row r="722">
      <c r="B722" s="15"/>
    </row>
    <row r="723">
      <c r="B723" s="15"/>
    </row>
    <row r="724">
      <c r="B724" s="15"/>
    </row>
    <row r="725">
      <c r="B725" s="15"/>
    </row>
    <row r="726">
      <c r="B726" s="15"/>
    </row>
    <row r="727">
      <c r="B727" s="15"/>
    </row>
    <row r="728">
      <c r="B728" s="15"/>
    </row>
    <row r="729">
      <c r="B729" s="15"/>
    </row>
    <row r="730">
      <c r="B730" s="15"/>
    </row>
    <row r="731">
      <c r="B731" s="15"/>
    </row>
    <row r="732">
      <c r="B732" s="15"/>
    </row>
    <row r="733">
      <c r="B733" s="15"/>
    </row>
    <row r="734">
      <c r="B734" s="15"/>
    </row>
    <row r="735">
      <c r="B735" s="15"/>
    </row>
    <row r="736">
      <c r="B736" s="15"/>
    </row>
    <row r="737">
      <c r="B737" s="15"/>
    </row>
    <row r="738">
      <c r="B738" s="15"/>
    </row>
    <row r="739">
      <c r="B739" s="15"/>
    </row>
    <row r="740">
      <c r="B740" s="15"/>
    </row>
    <row r="741">
      <c r="B741" s="15"/>
    </row>
    <row r="742">
      <c r="B742" s="15"/>
    </row>
    <row r="743">
      <c r="B743" s="15"/>
    </row>
    <row r="744">
      <c r="B744" s="15"/>
    </row>
    <row r="745">
      <c r="B745" s="15"/>
    </row>
    <row r="746">
      <c r="B746" s="15"/>
    </row>
    <row r="747">
      <c r="B747" s="15"/>
    </row>
    <row r="748">
      <c r="B748" s="15"/>
    </row>
    <row r="749">
      <c r="B749" s="15"/>
    </row>
    <row r="750">
      <c r="B750" s="15"/>
    </row>
    <row r="751">
      <c r="B751" s="15"/>
    </row>
    <row r="752">
      <c r="B752" s="15"/>
    </row>
    <row r="753">
      <c r="B753" s="15"/>
    </row>
    <row r="754">
      <c r="B754" s="15"/>
    </row>
    <row r="755">
      <c r="B755" s="15"/>
    </row>
    <row r="756">
      <c r="B756" s="15"/>
    </row>
    <row r="757">
      <c r="B757" s="15"/>
    </row>
    <row r="758">
      <c r="B758" s="15"/>
    </row>
    <row r="759">
      <c r="B759" s="15"/>
    </row>
    <row r="760">
      <c r="B760" s="15"/>
    </row>
    <row r="761">
      <c r="B761" s="15"/>
    </row>
    <row r="762">
      <c r="B762" s="15"/>
    </row>
    <row r="763">
      <c r="B763" s="15"/>
    </row>
    <row r="764">
      <c r="B764" s="15"/>
    </row>
    <row r="765">
      <c r="B765" s="15"/>
    </row>
    <row r="766">
      <c r="B766" s="15"/>
    </row>
    <row r="767">
      <c r="B767" s="15"/>
    </row>
    <row r="768">
      <c r="B768" s="15"/>
    </row>
    <row r="769">
      <c r="B769" s="15"/>
    </row>
    <row r="770">
      <c r="B770" s="15"/>
    </row>
    <row r="771">
      <c r="B771" s="15"/>
    </row>
    <row r="772">
      <c r="B772" s="15"/>
    </row>
    <row r="773">
      <c r="B773" s="15"/>
    </row>
    <row r="774">
      <c r="B774" s="15"/>
    </row>
    <row r="775">
      <c r="B775" s="15"/>
    </row>
    <row r="776">
      <c r="B776" s="15"/>
    </row>
    <row r="777">
      <c r="B777" s="15"/>
    </row>
    <row r="778">
      <c r="B778" s="15"/>
    </row>
    <row r="779">
      <c r="B779" s="15"/>
    </row>
    <row r="780">
      <c r="B780" s="15"/>
    </row>
    <row r="781">
      <c r="B781" s="15"/>
    </row>
    <row r="782">
      <c r="B782" s="15"/>
    </row>
    <row r="783">
      <c r="B783" s="15"/>
    </row>
    <row r="784">
      <c r="B784" s="15"/>
    </row>
    <row r="785">
      <c r="B785" s="15"/>
    </row>
    <row r="786">
      <c r="B786" s="15"/>
    </row>
    <row r="787">
      <c r="B787" s="15"/>
    </row>
    <row r="788">
      <c r="B788" s="15"/>
    </row>
    <row r="789">
      <c r="B789" s="15"/>
    </row>
    <row r="790">
      <c r="B790" s="15"/>
    </row>
    <row r="791">
      <c r="B791" s="15"/>
    </row>
    <row r="792">
      <c r="B792" s="15"/>
    </row>
    <row r="793">
      <c r="B793" s="15"/>
    </row>
    <row r="794">
      <c r="B794" s="15"/>
    </row>
    <row r="795">
      <c r="B795" s="15"/>
    </row>
    <row r="796">
      <c r="B796" s="15"/>
    </row>
    <row r="797">
      <c r="B797" s="15"/>
    </row>
    <row r="798">
      <c r="B798" s="15"/>
    </row>
    <row r="799">
      <c r="B799" s="15"/>
    </row>
    <row r="800">
      <c r="B800" s="15"/>
    </row>
    <row r="801">
      <c r="B801" s="15"/>
    </row>
    <row r="802">
      <c r="B802" s="15"/>
    </row>
    <row r="803">
      <c r="B803" s="15"/>
    </row>
    <row r="804">
      <c r="B804" s="15"/>
    </row>
    <row r="805">
      <c r="B805" s="15"/>
    </row>
    <row r="806">
      <c r="B806" s="15"/>
    </row>
    <row r="807">
      <c r="B807" s="15"/>
    </row>
    <row r="808">
      <c r="B808" s="15"/>
    </row>
    <row r="809">
      <c r="B809" s="15"/>
    </row>
    <row r="810">
      <c r="B810" s="15"/>
    </row>
    <row r="811">
      <c r="B811" s="15"/>
    </row>
    <row r="812">
      <c r="B812" s="15"/>
    </row>
    <row r="813">
      <c r="B813" s="15"/>
    </row>
    <row r="814">
      <c r="B814" s="15"/>
    </row>
    <row r="815">
      <c r="B815" s="15"/>
    </row>
    <row r="816">
      <c r="B816" s="15"/>
    </row>
    <row r="817">
      <c r="B817" s="15"/>
    </row>
    <row r="818">
      <c r="B818" s="15"/>
    </row>
    <row r="819">
      <c r="B819" s="15"/>
    </row>
    <row r="820">
      <c r="B820" s="15"/>
    </row>
    <row r="821">
      <c r="B821" s="15"/>
    </row>
    <row r="822">
      <c r="B822" s="15"/>
    </row>
    <row r="823">
      <c r="B823" s="15"/>
    </row>
    <row r="824">
      <c r="B824" s="15"/>
    </row>
    <row r="825">
      <c r="B825" s="15"/>
    </row>
    <row r="826">
      <c r="B826" s="15"/>
    </row>
    <row r="827">
      <c r="B827" s="15"/>
    </row>
    <row r="828">
      <c r="B828" s="15"/>
    </row>
    <row r="829">
      <c r="B829" s="15"/>
    </row>
    <row r="830">
      <c r="B830" s="15"/>
    </row>
    <row r="831">
      <c r="B831" s="15"/>
    </row>
    <row r="832">
      <c r="B832" s="15"/>
    </row>
    <row r="833">
      <c r="B833" s="15"/>
    </row>
    <row r="834">
      <c r="B834" s="15"/>
    </row>
    <row r="835">
      <c r="B835" s="15"/>
    </row>
    <row r="836">
      <c r="B836" s="15"/>
    </row>
    <row r="837">
      <c r="B837" s="15"/>
    </row>
    <row r="838">
      <c r="B838" s="15"/>
    </row>
    <row r="839">
      <c r="B839" s="15"/>
    </row>
    <row r="840">
      <c r="B840" s="15"/>
    </row>
    <row r="841">
      <c r="B841" s="15"/>
    </row>
    <row r="842">
      <c r="B842" s="15"/>
    </row>
    <row r="843">
      <c r="B843" s="15"/>
    </row>
    <row r="844">
      <c r="B844" s="15"/>
    </row>
    <row r="845">
      <c r="B845" s="15"/>
    </row>
    <row r="846">
      <c r="B846" s="15"/>
    </row>
    <row r="847">
      <c r="B847" s="15"/>
    </row>
    <row r="848">
      <c r="B848" s="15"/>
    </row>
    <row r="849">
      <c r="B849" s="15"/>
    </row>
    <row r="850">
      <c r="B850" s="15"/>
    </row>
    <row r="851">
      <c r="B851" s="15"/>
    </row>
    <row r="852">
      <c r="B852" s="15"/>
    </row>
    <row r="853">
      <c r="B853" s="15"/>
    </row>
    <row r="854">
      <c r="B854" s="15"/>
    </row>
    <row r="855">
      <c r="B855" s="15"/>
    </row>
    <row r="856">
      <c r="B856" s="15"/>
    </row>
    <row r="857">
      <c r="B857" s="15"/>
    </row>
    <row r="858">
      <c r="B858" s="15"/>
    </row>
    <row r="859">
      <c r="B859" s="15"/>
    </row>
    <row r="860">
      <c r="B860" s="15"/>
    </row>
    <row r="861">
      <c r="B861" s="15"/>
    </row>
    <row r="862">
      <c r="B862" s="15"/>
    </row>
    <row r="863">
      <c r="B863" s="15"/>
    </row>
    <row r="864">
      <c r="B864" s="15"/>
    </row>
    <row r="865">
      <c r="B865" s="15"/>
    </row>
    <row r="866">
      <c r="B866" s="15"/>
    </row>
    <row r="867">
      <c r="B867" s="15"/>
    </row>
    <row r="868">
      <c r="B868" s="15"/>
    </row>
    <row r="869">
      <c r="B869" s="15"/>
    </row>
    <row r="870">
      <c r="B870" s="15"/>
    </row>
    <row r="871">
      <c r="B871" s="15"/>
    </row>
    <row r="872">
      <c r="B872" s="15"/>
    </row>
    <row r="873">
      <c r="B873" s="15"/>
    </row>
    <row r="874">
      <c r="B874" s="15"/>
    </row>
    <row r="875">
      <c r="B875" s="15"/>
    </row>
    <row r="876">
      <c r="B876" s="15"/>
    </row>
    <row r="877">
      <c r="B877" s="15"/>
    </row>
    <row r="878">
      <c r="B878" s="15"/>
    </row>
    <row r="879">
      <c r="B879" s="15"/>
    </row>
    <row r="880">
      <c r="B880" s="15"/>
    </row>
    <row r="881">
      <c r="B881" s="15"/>
    </row>
    <row r="882">
      <c r="B882" s="15"/>
    </row>
    <row r="883">
      <c r="B883" s="15"/>
    </row>
    <row r="884">
      <c r="B884" s="15"/>
    </row>
    <row r="885">
      <c r="B885" s="15"/>
    </row>
    <row r="886">
      <c r="B886" s="15"/>
    </row>
    <row r="887">
      <c r="B887" s="15"/>
    </row>
    <row r="888">
      <c r="B888" s="15"/>
    </row>
    <row r="889">
      <c r="B889" s="15"/>
    </row>
    <row r="890">
      <c r="B890" s="15"/>
    </row>
    <row r="891">
      <c r="B891" s="15"/>
    </row>
    <row r="892">
      <c r="B892" s="15"/>
    </row>
    <row r="893">
      <c r="B893" s="15"/>
    </row>
    <row r="894">
      <c r="B894" s="15"/>
    </row>
    <row r="895">
      <c r="B895" s="15"/>
    </row>
    <row r="896">
      <c r="B896" s="15"/>
    </row>
    <row r="897">
      <c r="B897" s="15"/>
    </row>
    <row r="898">
      <c r="B898" s="15"/>
    </row>
    <row r="899">
      <c r="B899" s="15"/>
    </row>
    <row r="900">
      <c r="B900" s="15"/>
    </row>
    <row r="901">
      <c r="B901" s="15"/>
    </row>
    <row r="902">
      <c r="B902" s="15"/>
    </row>
    <row r="903">
      <c r="B903" s="15"/>
    </row>
    <row r="904">
      <c r="B904" s="15"/>
    </row>
    <row r="905">
      <c r="B905" s="15"/>
    </row>
    <row r="906">
      <c r="B906" s="15"/>
    </row>
    <row r="907">
      <c r="B907" s="15"/>
    </row>
    <row r="908">
      <c r="B908" s="15"/>
    </row>
    <row r="909">
      <c r="B909" s="15"/>
    </row>
    <row r="910">
      <c r="B910" s="15"/>
    </row>
    <row r="911">
      <c r="B911" s="15"/>
    </row>
    <row r="912">
      <c r="B912" s="15"/>
    </row>
    <row r="913">
      <c r="B913" s="15"/>
    </row>
    <row r="914">
      <c r="B914" s="15"/>
    </row>
    <row r="915">
      <c r="B915" s="15"/>
    </row>
    <row r="916">
      <c r="B916" s="15"/>
    </row>
    <row r="917">
      <c r="B917" s="15"/>
    </row>
    <row r="918">
      <c r="B918" s="15"/>
    </row>
    <row r="919">
      <c r="B919" s="15"/>
    </row>
    <row r="920">
      <c r="B920" s="15"/>
    </row>
    <row r="921">
      <c r="B921" s="15"/>
    </row>
    <row r="922">
      <c r="B922" s="15"/>
    </row>
    <row r="923">
      <c r="B923" s="15"/>
    </row>
    <row r="924">
      <c r="B924" s="15"/>
    </row>
    <row r="925">
      <c r="B925" s="15"/>
    </row>
    <row r="926">
      <c r="B926" s="15"/>
    </row>
    <row r="927">
      <c r="B927" s="15"/>
    </row>
    <row r="928">
      <c r="B928" s="15"/>
    </row>
    <row r="929">
      <c r="B929" s="15"/>
    </row>
    <row r="930">
      <c r="B930" s="15"/>
    </row>
    <row r="931">
      <c r="B931" s="15"/>
    </row>
    <row r="932">
      <c r="B932" s="15"/>
    </row>
    <row r="933">
      <c r="B933" s="15"/>
    </row>
    <row r="934">
      <c r="B934" s="15"/>
    </row>
    <row r="935">
      <c r="B935" s="15"/>
    </row>
    <row r="936">
      <c r="B936" s="15"/>
    </row>
    <row r="937">
      <c r="B937" s="15"/>
    </row>
    <row r="938">
      <c r="B938" s="15"/>
    </row>
    <row r="939">
      <c r="B939" s="15"/>
    </row>
    <row r="940">
      <c r="B940" s="15"/>
    </row>
    <row r="941">
      <c r="B941" s="15"/>
    </row>
    <row r="942">
      <c r="B942" s="15"/>
    </row>
    <row r="943">
      <c r="B943" s="15"/>
    </row>
    <row r="944">
      <c r="B944" s="15"/>
    </row>
    <row r="945">
      <c r="B945" s="15"/>
    </row>
    <row r="946">
      <c r="B946" s="15"/>
    </row>
    <row r="947">
      <c r="B947" s="15"/>
    </row>
    <row r="948">
      <c r="B948" s="15"/>
    </row>
    <row r="949">
      <c r="B949" s="15"/>
    </row>
    <row r="950">
      <c r="B950" s="15"/>
    </row>
    <row r="951">
      <c r="B951" s="15"/>
    </row>
    <row r="952">
      <c r="B952" s="15"/>
    </row>
    <row r="953">
      <c r="B953" s="15"/>
    </row>
    <row r="954">
      <c r="B954" s="15"/>
    </row>
    <row r="955">
      <c r="B955" s="15"/>
    </row>
    <row r="956">
      <c r="B956" s="15"/>
    </row>
    <row r="957">
      <c r="B957" s="15"/>
    </row>
    <row r="958">
      <c r="B958" s="15"/>
    </row>
    <row r="959">
      <c r="B959" s="15"/>
    </row>
    <row r="960">
      <c r="B960" s="15"/>
    </row>
    <row r="961">
      <c r="B961" s="15"/>
    </row>
    <row r="962">
      <c r="B962" s="15"/>
    </row>
    <row r="963">
      <c r="B963" s="15"/>
    </row>
    <row r="964">
      <c r="B964" s="15"/>
    </row>
    <row r="965">
      <c r="B965" s="15"/>
    </row>
    <row r="966">
      <c r="B966" s="15"/>
    </row>
    <row r="967">
      <c r="B967" s="15"/>
    </row>
    <row r="968">
      <c r="B968" s="15"/>
    </row>
    <row r="969">
      <c r="B969" s="15"/>
    </row>
    <row r="970">
      <c r="B970" s="15"/>
    </row>
    <row r="971">
      <c r="B971" s="15"/>
    </row>
    <row r="972">
      <c r="B972" s="15"/>
    </row>
    <row r="973">
      <c r="B973" s="15"/>
    </row>
    <row r="974">
      <c r="B974" s="15"/>
    </row>
    <row r="975">
      <c r="B975" s="15"/>
    </row>
    <row r="976">
      <c r="B976" s="15"/>
    </row>
    <row r="977">
      <c r="B977" s="15"/>
    </row>
    <row r="978">
      <c r="B978" s="15"/>
    </row>
    <row r="979">
      <c r="B979" s="15"/>
    </row>
    <row r="980">
      <c r="B980" s="15"/>
    </row>
    <row r="981">
      <c r="B981" s="15"/>
    </row>
    <row r="982">
      <c r="B982" s="15"/>
    </row>
    <row r="983">
      <c r="B983" s="15"/>
    </row>
    <row r="984">
      <c r="B984" s="15"/>
    </row>
    <row r="985">
      <c r="B985" s="15"/>
    </row>
    <row r="986">
      <c r="B986" s="15"/>
    </row>
    <row r="987">
      <c r="B987" s="15"/>
    </row>
    <row r="988">
      <c r="B988" s="15"/>
    </row>
    <row r="989">
      <c r="B989" s="15"/>
    </row>
    <row r="990">
      <c r="B990" s="15"/>
    </row>
    <row r="991">
      <c r="B991" s="15"/>
    </row>
    <row r="992">
      <c r="B992" s="15"/>
    </row>
    <row r="993">
      <c r="B993" s="15"/>
    </row>
    <row r="994">
      <c r="B994" s="15"/>
    </row>
    <row r="995">
      <c r="B995" s="15"/>
    </row>
    <row r="996">
      <c r="B996" s="15"/>
    </row>
    <row r="997">
      <c r="B997" s="15"/>
    </row>
    <row r="998">
      <c r="B998" s="15"/>
    </row>
    <row r="999">
      <c r="B999" s="15"/>
    </row>
    <row r="1000">
      <c r="B1000" s="1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9.0"/>
    <col customWidth="1" min="5" max="5" width="15.75"/>
    <col customWidth="1" min="6" max="6" width="21.63"/>
    <col customWidth="1" min="7" max="7" width="18.13"/>
    <col customWidth="1" min="8" max="8" width="18.5"/>
    <col customWidth="1" min="9" max="9" width="40.75"/>
  </cols>
  <sheetData>
    <row r="1">
      <c r="A1" s="116" t="s">
        <v>48</v>
      </c>
      <c r="B1" s="116" t="s">
        <v>5</v>
      </c>
      <c r="C1" s="116" t="s">
        <v>1932</v>
      </c>
      <c r="D1" s="192" t="s">
        <v>1933</v>
      </c>
      <c r="E1" s="116" t="s">
        <v>1934</v>
      </c>
      <c r="F1" s="116" t="s">
        <v>1935</v>
      </c>
      <c r="G1" s="116" t="s">
        <v>1936</v>
      </c>
      <c r="H1" s="116" t="s">
        <v>1937</v>
      </c>
      <c r="I1" s="116" t="s">
        <v>1938</v>
      </c>
      <c r="J1" s="114"/>
      <c r="K1" s="114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</row>
    <row r="2">
      <c r="A2" s="193">
        <v>46140.0</v>
      </c>
      <c r="B2" s="194" t="s">
        <v>1941</v>
      </c>
      <c r="C2" s="194">
        <v>9.0</v>
      </c>
      <c r="D2" s="195">
        <f>C2*300</f>
        <v>2700</v>
      </c>
      <c r="E2" s="195">
        <v>300.0</v>
      </c>
      <c r="F2" s="196">
        <f>SUM(D2:E12)</f>
        <v>14450</v>
      </c>
      <c r="G2" s="194" t="s">
        <v>2055</v>
      </c>
      <c r="H2" s="193">
        <f t="shared" ref="H2:H4" si="1">A2</f>
        <v>46140</v>
      </c>
      <c r="I2" s="194" t="s">
        <v>2056</v>
      </c>
      <c r="J2" s="114"/>
      <c r="K2" s="114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</row>
    <row r="3">
      <c r="A3" s="193">
        <v>46140.0</v>
      </c>
      <c r="B3" s="194" t="s">
        <v>74</v>
      </c>
      <c r="C3" s="194">
        <v>3.0</v>
      </c>
      <c r="D3" s="197">
        <f>C3*250</f>
        <v>750</v>
      </c>
      <c r="E3" s="197">
        <f>2*250-250</f>
        <v>250</v>
      </c>
      <c r="F3" s="198"/>
      <c r="G3" s="194" t="s">
        <v>2055</v>
      </c>
      <c r="H3" s="193">
        <f t="shared" si="1"/>
        <v>46140</v>
      </c>
      <c r="I3" s="194" t="s">
        <v>2057</v>
      </c>
      <c r="J3" s="114"/>
      <c r="K3" s="114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</row>
    <row r="4">
      <c r="A4" s="193">
        <v>46140.0</v>
      </c>
      <c r="B4" s="194" t="s">
        <v>81</v>
      </c>
      <c r="C4" s="194">
        <v>4.0</v>
      </c>
      <c r="D4" s="197">
        <f>C4*300</f>
        <v>1200</v>
      </c>
      <c r="E4" s="197">
        <v>0.0</v>
      </c>
      <c r="F4" s="194"/>
      <c r="G4" s="194" t="s">
        <v>2058</v>
      </c>
      <c r="H4" s="193">
        <f t="shared" si="1"/>
        <v>46140</v>
      </c>
      <c r="I4" s="199"/>
      <c r="J4" s="114"/>
      <c r="K4" s="114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</row>
    <row r="5">
      <c r="A5" s="193">
        <v>46141.0</v>
      </c>
      <c r="B5" s="200" t="s">
        <v>1941</v>
      </c>
      <c r="C5" s="200">
        <v>11.0</v>
      </c>
      <c r="D5" s="197">
        <f>C5*300-300</f>
        <v>3000</v>
      </c>
      <c r="E5" s="197">
        <v>0.0</v>
      </c>
      <c r="F5" s="198"/>
      <c r="G5" s="194" t="s">
        <v>2055</v>
      </c>
      <c r="H5" s="193">
        <v>46141.0</v>
      </c>
      <c r="I5" s="194" t="s">
        <v>2059</v>
      </c>
      <c r="J5" s="114"/>
      <c r="K5" s="114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</row>
    <row r="6">
      <c r="A6" s="193">
        <v>46141.0</v>
      </c>
      <c r="B6" s="194" t="s">
        <v>81</v>
      </c>
      <c r="C6" s="201">
        <v>4.0</v>
      </c>
      <c r="D6" s="197">
        <f t="shared" ref="D6:D9" si="2">C6*300</f>
        <v>1200</v>
      </c>
      <c r="E6" s="197">
        <v>0.0</v>
      </c>
      <c r="F6" s="198"/>
      <c r="G6" s="194" t="s">
        <v>2055</v>
      </c>
      <c r="H6" s="193">
        <v>46141.0</v>
      </c>
      <c r="I6" s="199"/>
      <c r="J6" s="114"/>
      <c r="K6" s="114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</row>
    <row r="7">
      <c r="A7" s="193">
        <v>46141.0</v>
      </c>
      <c r="B7" s="200" t="s">
        <v>1941</v>
      </c>
      <c r="C7" s="200">
        <v>4.0</v>
      </c>
      <c r="D7" s="197">
        <f t="shared" si="2"/>
        <v>1200</v>
      </c>
      <c r="E7" s="197">
        <v>0.0</v>
      </c>
      <c r="F7" s="198"/>
      <c r="G7" s="194" t="s">
        <v>2055</v>
      </c>
      <c r="H7" s="193">
        <v>46141.0</v>
      </c>
      <c r="I7" s="199"/>
      <c r="J7" s="114"/>
      <c r="K7" s="114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87"/>
      <c r="AC7" s="187"/>
      <c r="AD7" s="187"/>
    </row>
    <row r="8">
      <c r="A8" s="193">
        <v>46141.0</v>
      </c>
      <c r="B8" s="194" t="s">
        <v>2049</v>
      </c>
      <c r="C8" s="201">
        <v>2.0</v>
      </c>
      <c r="D8" s="197">
        <f t="shared" si="2"/>
        <v>600</v>
      </c>
      <c r="E8" s="197">
        <v>0.0</v>
      </c>
      <c r="F8" s="198"/>
      <c r="G8" s="194" t="s">
        <v>2055</v>
      </c>
      <c r="H8" s="193">
        <v>46141.0</v>
      </c>
      <c r="I8" s="199"/>
      <c r="J8" s="114"/>
      <c r="K8" s="114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  <c r="AA8" s="187"/>
      <c r="AB8" s="187"/>
      <c r="AC8" s="187"/>
      <c r="AD8" s="187"/>
    </row>
    <row r="9">
      <c r="A9" s="193">
        <v>46142.0</v>
      </c>
      <c r="B9" s="194" t="s">
        <v>1941</v>
      </c>
      <c r="C9" s="194">
        <v>10.0</v>
      </c>
      <c r="D9" s="197">
        <f t="shared" si="2"/>
        <v>3000</v>
      </c>
      <c r="E9" s="197">
        <v>0.0</v>
      </c>
      <c r="F9" s="199"/>
      <c r="G9" s="194" t="s">
        <v>2055</v>
      </c>
      <c r="H9" s="202">
        <f t="shared" ref="H9:H10" si="3">A9</f>
        <v>46142</v>
      </c>
      <c r="I9" s="199"/>
      <c r="J9" s="114"/>
      <c r="K9" s="114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</row>
    <row r="10">
      <c r="A10" s="193">
        <v>46142.0</v>
      </c>
      <c r="B10" s="194" t="s">
        <v>74</v>
      </c>
      <c r="C10" s="194">
        <v>1.0</v>
      </c>
      <c r="D10" s="197">
        <f>C10*250</f>
        <v>250</v>
      </c>
      <c r="E10" s="199"/>
      <c r="F10" s="199"/>
      <c r="G10" s="194" t="s">
        <v>2055</v>
      </c>
      <c r="H10" s="202">
        <f t="shared" si="3"/>
        <v>46142</v>
      </c>
      <c r="I10" s="199"/>
      <c r="J10" s="114"/>
      <c r="K10" s="114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</row>
    <row r="11">
      <c r="A11" s="114"/>
      <c r="B11" s="114"/>
      <c r="C11" s="114"/>
      <c r="D11" s="113"/>
      <c r="E11" s="114"/>
      <c r="F11" s="114"/>
      <c r="G11" s="114"/>
      <c r="H11" s="114"/>
      <c r="I11" s="114"/>
      <c r="J11" s="114"/>
      <c r="K11" s="114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</row>
    <row r="12">
      <c r="A12" s="114"/>
      <c r="B12" s="203" t="s">
        <v>2060</v>
      </c>
      <c r="C12" s="204">
        <f>SUM(C2:C10)</f>
        <v>48</v>
      </c>
      <c r="D12" s="113"/>
      <c r="E12" s="114"/>
      <c r="F12" s="114"/>
      <c r="G12" s="114"/>
      <c r="H12" s="114"/>
      <c r="I12" s="114"/>
      <c r="J12" s="114"/>
      <c r="K12" s="114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</row>
    <row r="13">
      <c r="A13" s="114"/>
      <c r="B13" s="114"/>
      <c r="C13" s="114"/>
      <c r="D13" s="113"/>
      <c r="E13" s="114"/>
      <c r="F13" s="114"/>
      <c r="G13" s="114"/>
      <c r="H13" s="114"/>
      <c r="I13" s="114"/>
      <c r="J13" s="114"/>
      <c r="K13" s="114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  <c r="AC13" s="187"/>
      <c r="AD13" s="187"/>
    </row>
    <row r="14">
      <c r="A14" s="114"/>
      <c r="B14" s="114"/>
      <c r="C14" s="114"/>
      <c r="D14" s="113"/>
      <c r="E14" s="114"/>
      <c r="F14" s="114"/>
      <c r="G14" s="114"/>
      <c r="H14" s="114"/>
      <c r="I14" s="114"/>
      <c r="J14" s="114"/>
      <c r="K14" s="114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  <c r="AB14" s="187"/>
      <c r="AC14" s="187"/>
      <c r="AD14" s="187"/>
    </row>
    <row r="15">
      <c r="A15" s="114"/>
      <c r="B15" s="114"/>
      <c r="C15" s="114"/>
      <c r="D15" s="113"/>
      <c r="E15" s="114"/>
      <c r="F15" s="114"/>
      <c r="G15" s="114"/>
      <c r="H15" s="114"/>
      <c r="I15" s="114"/>
      <c r="J15" s="114"/>
      <c r="K15" s="114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</row>
    <row r="16">
      <c r="A16" s="114"/>
      <c r="B16" s="114"/>
      <c r="C16" s="114"/>
      <c r="D16" s="113"/>
      <c r="E16" s="114"/>
      <c r="F16" s="114"/>
      <c r="G16" s="114"/>
      <c r="H16" s="114"/>
      <c r="I16" s="114"/>
      <c r="J16" s="114"/>
      <c r="K16" s="114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  <c r="AA16" s="187"/>
      <c r="AB16" s="187"/>
      <c r="AC16" s="187"/>
      <c r="AD16" s="187"/>
    </row>
    <row r="17">
      <c r="A17" s="114"/>
      <c r="B17" s="114"/>
      <c r="C17" s="114"/>
      <c r="D17" s="113"/>
      <c r="E17" s="114"/>
      <c r="F17" s="114"/>
      <c r="G17" s="114"/>
      <c r="H17" s="114"/>
      <c r="I17" s="114"/>
      <c r="J17" s="114"/>
      <c r="K17" s="114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</row>
    <row r="18">
      <c r="A18" s="114"/>
      <c r="B18" s="114"/>
      <c r="C18" s="114"/>
      <c r="D18" s="113"/>
      <c r="E18" s="114"/>
      <c r="F18" s="114"/>
      <c r="G18" s="114"/>
      <c r="H18" s="114"/>
      <c r="I18" s="114"/>
      <c r="J18" s="114"/>
      <c r="K18" s="114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87"/>
    </row>
    <row r="19">
      <c r="A19" s="114"/>
      <c r="B19" s="114"/>
      <c r="C19" s="114"/>
      <c r="D19" s="113"/>
      <c r="E19" s="114"/>
      <c r="F19" s="114"/>
      <c r="G19" s="114"/>
      <c r="H19" s="114"/>
      <c r="I19" s="114"/>
      <c r="J19" s="114"/>
      <c r="K19" s="114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</row>
    <row r="20">
      <c r="A20" s="114"/>
      <c r="B20" s="114"/>
      <c r="C20" s="114"/>
      <c r="D20" s="113"/>
      <c r="E20" s="114"/>
      <c r="F20" s="114"/>
      <c r="G20" s="114"/>
      <c r="H20" s="114"/>
      <c r="I20" s="114"/>
      <c r="J20" s="114"/>
      <c r="K20" s="114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</row>
    <row r="21">
      <c r="A21" s="114"/>
      <c r="B21" s="114"/>
      <c r="C21" s="114"/>
      <c r="D21" s="113"/>
      <c r="E21" s="114"/>
      <c r="F21" s="114"/>
      <c r="G21" s="114"/>
      <c r="H21" s="114"/>
      <c r="I21" s="114"/>
      <c r="J21" s="114"/>
      <c r="K21" s="114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</row>
    <row r="22">
      <c r="A22" s="114"/>
      <c r="B22" s="114"/>
      <c r="C22" s="114"/>
      <c r="D22" s="113"/>
      <c r="E22" s="114"/>
      <c r="F22" s="114"/>
      <c r="G22" s="114"/>
      <c r="H22" s="114"/>
      <c r="I22" s="114"/>
      <c r="J22" s="114"/>
      <c r="K22" s="114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  <c r="AB22" s="187"/>
      <c r="AC22" s="187"/>
      <c r="AD22" s="187"/>
    </row>
    <row r="23">
      <c r="A23" s="114"/>
      <c r="B23" s="114"/>
      <c r="C23" s="114"/>
      <c r="D23" s="113"/>
      <c r="E23" s="114"/>
      <c r="F23" s="114"/>
      <c r="G23" s="114"/>
      <c r="H23" s="114"/>
      <c r="I23" s="114"/>
      <c r="J23" s="114"/>
      <c r="K23" s="114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  <c r="AC23" s="187"/>
      <c r="AD23" s="187"/>
    </row>
    <row r="24">
      <c r="A24" s="114"/>
      <c r="B24" s="114"/>
      <c r="C24" s="114"/>
      <c r="D24" s="113"/>
      <c r="E24" s="114"/>
      <c r="F24" s="114"/>
      <c r="G24" s="114"/>
      <c r="H24" s="114"/>
      <c r="I24" s="114"/>
      <c r="J24" s="114"/>
      <c r="K24" s="114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  <c r="AA24" s="187"/>
      <c r="AB24" s="187"/>
      <c r="AC24" s="187"/>
      <c r="AD24" s="187"/>
    </row>
    <row r="25">
      <c r="A25" s="114"/>
      <c r="B25" s="114"/>
      <c r="C25" s="114"/>
      <c r="D25" s="113"/>
      <c r="E25" s="114"/>
      <c r="F25" s="114"/>
      <c r="G25" s="114"/>
      <c r="H25" s="114"/>
      <c r="I25" s="114"/>
      <c r="J25" s="114"/>
      <c r="K25" s="114"/>
      <c r="L25" s="187"/>
      <c r="M25" s="187"/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  <c r="AA25" s="187"/>
      <c r="AB25" s="187"/>
      <c r="AC25" s="187"/>
      <c r="AD25" s="187"/>
    </row>
    <row r="26">
      <c r="A26" s="114"/>
      <c r="B26" s="114"/>
      <c r="C26" s="114"/>
      <c r="D26" s="113"/>
      <c r="E26" s="114"/>
      <c r="F26" s="114"/>
      <c r="G26" s="114"/>
      <c r="H26" s="114"/>
      <c r="I26" s="114"/>
      <c r="J26" s="114"/>
      <c r="K26" s="114"/>
      <c r="L26" s="187"/>
      <c r="M26" s="187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  <c r="AA26" s="187"/>
      <c r="AB26" s="187"/>
      <c r="AC26" s="187"/>
      <c r="AD26" s="187"/>
    </row>
    <row r="27">
      <c r="A27" s="114"/>
      <c r="B27" s="114"/>
      <c r="C27" s="114"/>
      <c r="D27" s="113"/>
      <c r="E27" s="114"/>
      <c r="F27" s="114"/>
      <c r="G27" s="114"/>
      <c r="H27" s="114"/>
      <c r="I27" s="114"/>
      <c r="J27" s="114"/>
      <c r="K27" s="114"/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  <c r="AA27" s="187"/>
      <c r="AB27" s="187"/>
      <c r="AC27" s="187"/>
      <c r="AD27" s="187"/>
    </row>
    <row r="28">
      <c r="A28" s="114"/>
      <c r="B28" s="114"/>
      <c r="C28" s="114"/>
      <c r="D28" s="113"/>
      <c r="E28" s="114"/>
      <c r="F28" s="114"/>
      <c r="G28" s="114"/>
      <c r="H28" s="114"/>
      <c r="I28" s="114"/>
      <c r="J28" s="114"/>
      <c r="K28" s="114"/>
      <c r="L28" s="187"/>
      <c r="M28" s="187"/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  <c r="AA28" s="187"/>
      <c r="AB28" s="187"/>
      <c r="AC28" s="187"/>
      <c r="AD28" s="187"/>
    </row>
    <row r="29">
      <c r="A29" s="114"/>
      <c r="B29" s="114"/>
      <c r="C29" s="114"/>
      <c r="D29" s="113"/>
      <c r="E29" s="114"/>
      <c r="F29" s="114"/>
      <c r="G29" s="114"/>
      <c r="H29" s="114"/>
      <c r="I29" s="114"/>
      <c r="J29" s="114"/>
      <c r="K29" s="114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  <c r="AB29" s="187"/>
      <c r="AC29" s="187"/>
      <c r="AD29" s="187"/>
    </row>
    <row r="30">
      <c r="A30" s="114"/>
      <c r="B30" s="114"/>
      <c r="C30" s="114"/>
      <c r="D30" s="113"/>
      <c r="E30" s="114"/>
      <c r="F30" s="114"/>
      <c r="G30" s="114"/>
      <c r="H30" s="114"/>
      <c r="I30" s="114"/>
      <c r="J30" s="114"/>
      <c r="K30" s="114"/>
      <c r="L30" s="187"/>
      <c r="M30" s="187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  <c r="AA30" s="187"/>
      <c r="AB30" s="187"/>
      <c r="AC30" s="187"/>
      <c r="AD30" s="187"/>
    </row>
    <row r="31">
      <c r="A31" s="114"/>
      <c r="B31" s="114"/>
      <c r="C31" s="114"/>
      <c r="D31" s="113"/>
      <c r="E31" s="114"/>
      <c r="F31" s="114"/>
      <c r="G31" s="114"/>
      <c r="H31" s="114"/>
      <c r="I31" s="114"/>
      <c r="J31" s="114"/>
      <c r="K31" s="114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  <c r="AA31" s="187"/>
      <c r="AB31" s="187"/>
      <c r="AC31" s="187"/>
      <c r="AD31" s="187"/>
    </row>
    <row r="32">
      <c r="A32" s="114"/>
      <c r="B32" s="114"/>
      <c r="C32" s="114"/>
      <c r="D32" s="113"/>
      <c r="E32" s="114"/>
      <c r="F32" s="114"/>
      <c r="G32" s="114"/>
      <c r="H32" s="114"/>
      <c r="I32" s="114"/>
      <c r="J32" s="114"/>
      <c r="K32" s="114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</row>
    <row r="33">
      <c r="A33" s="114"/>
      <c r="B33" s="114"/>
      <c r="C33" s="114"/>
      <c r="D33" s="113"/>
      <c r="E33" s="114"/>
      <c r="F33" s="114"/>
      <c r="G33" s="114"/>
      <c r="H33" s="114"/>
      <c r="I33" s="114"/>
      <c r="J33" s="114"/>
      <c r="K33" s="114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  <c r="AA33" s="187"/>
      <c r="AB33" s="187"/>
      <c r="AC33" s="187"/>
      <c r="AD33" s="187"/>
    </row>
    <row r="34">
      <c r="A34" s="114"/>
      <c r="B34" s="114"/>
      <c r="C34" s="114"/>
      <c r="D34" s="113"/>
      <c r="E34" s="114"/>
      <c r="F34" s="114"/>
      <c r="G34" s="114"/>
      <c r="H34" s="114"/>
      <c r="I34" s="114"/>
      <c r="J34" s="114"/>
      <c r="K34" s="114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  <c r="AA34" s="187"/>
      <c r="AB34" s="187"/>
      <c r="AC34" s="187"/>
      <c r="AD34" s="187"/>
    </row>
    <row r="35">
      <c r="A35" s="114"/>
      <c r="B35" s="114"/>
      <c r="C35" s="114"/>
      <c r="D35" s="113"/>
      <c r="E35" s="114"/>
      <c r="F35" s="114"/>
      <c r="G35" s="114"/>
      <c r="H35" s="114"/>
      <c r="I35" s="114"/>
      <c r="J35" s="114"/>
      <c r="K35" s="114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187"/>
      <c r="AD35" s="187"/>
    </row>
    <row r="36">
      <c r="A36" s="114"/>
      <c r="B36" s="114"/>
      <c r="C36" s="114"/>
      <c r="D36" s="113"/>
      <c r="E36" s="114"/>
      <c r="F36" s="114"/>
      <c r="G36" s="114"/>
      <c r="H36" s="114"/>
      <c r="I36" s="114"/>
      <c r="J36" s="114"/>
      <c r="K36" s="114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  <c r="AA36" s="187"/>
      <c r="AB36" s="187"/>
      <c r="AC36" s="187"/>
      <c r="AD36" s="187"/>
    </row>
    <row r="37">
      <c r="A37" s="114"/>
      <c r="B37" s="114"/>
      <c r="C37" s="114"/>
      <c r="D37" s="113"/>
      <c r="E37" s="114"/>
      <c r="F37" s="114"/>
      <c r="G37" s="114"/>
      <c r="H37" s="114"/>
      <c r="I37" s="114"/>
      <c r="J37" s="114"/>
      <c r="K37" s="114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187"/>
    </row>
    <row r="38">
      <c r="A38" s="114"/>
      <c r="B38" s="114"/>
      <c r="C38" s="114"/>
      <c r="D38" s="113"/>
      <c r="E38" s="114"/>
      <c r="F38" s="114"/>
      <c r="G38" s="114"/>
      <c r="H38" s="114"/>
      <c r="I38" s="114"/>
      <c r="J38" s="114"/>
      <c r="K38" s="114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  <c r="AA38" s="187"/>
      <c r="AB38" s="187"/>
      <c r="AC38" s="187"/>
      <c r="AD38" s="187"/>
    </row>
    <row r="39">
      <c r="A39" s="114"/>
      <c r="B39" s="114"/>
      <c r="C39" s="114"/>
      <c r="D39" s="113"/>
      <c r="E39" s="114"/>
      <c r="F39" s="114"/>
      <c r="G39" s="114"/>
      <c r="H39" s="114"/>
      <c r="I39" s="114"/>
      <c r="J39" s="114"/>
      <c r="K39" s="114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87"/>
      <c r="AB39" s="187"/>
      <c r="AC39" s="187"/>
      <c r="AD39" s="187"/>
    </row>
    <row r="40">
      <c r="A40" s="114"/>
      <c r="B40" s="114"/>
      <c r="C40" s="114"/>
      <c r="D40" s="113"/>
      <c r="E40" s="114"/>
      <c r="F40" s="114"/>
      <c r="G40" s="114"/>
      <c r="H40" s="114"/>
      <c r="I40" s="114"/>
      <c r="J40" s="114"/>
      <c r="K40" s="114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</row>
    <row r="41">
      <c r="A41" s="114"/>
      <c r="B41" s="114"/>
      <c r="C41" s="114"/>
      <c r="D41" s="113"/>
      <c r="E41" s="114"/>
      <c r="F41" s="114"/>
      <c r="G41" s="114"/>
      <c r="H41" s="114"/>
      <c r="I41" s="114"/>
      <c r="J41" s="114"/>
      <c r="K41" s="114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  <c r="AB41" s="187"/>
      <c r="AC41" s="187"/>
      <c r="AD41" s="187"/>
    </row>
    <row r="42">
      <c r="A42" s="114"/>
      <c r="B42" s="114"/>
      <c r="C42" s="114"/>
      <c r="D42" s="113"/>
      <c r="E42" s="114"/>
      <c r="F42" s="114"/>
      <c r="G42" s="114"/>
      <c r="H42" s="114"/>
      <c r="I42" s="114"/>
      <c r="J42" s="114"/>
      <c r="K42" s="114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</row>
    <row r="43">
      <c r="A43" s="114"/>
      <c r="B43" s="114"/>
      <c r="C43" s="114"/>
      <c r="D43" s="113"/>
      <c r="E43" s="114"/>
      <c r="F43" s="114"/>
      <c r="G43" s="114"/>
      <c r="H43" s="114"/>
      <c r="I43" s="114"/>
      <c r="J43" s="114"/>
      <c r="K43" s="114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</row>
    <row r="44">
      <c r="A44" s="114"/>
      <c r="B44" s="114"/>
      <c r="C44" s="114"/>
      <c r="D44" s="113"/>
      <c r="E44" s="114"/>
      <c r="F44" s="114"/>
      <c r="G44" s="114"/>
      <c r="H44" s="114"/>
      <c r="I44" s="114"/>
      <c r="J44" s="114"/>
      <c r="K44" s="114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</row>
    <row r="45">
      <c r="A45" s="114"/>
      <c r="B45" s="114"/>
      <c r="C45" s="114"/>
      <c r="D45" s="113"/>
      <c r="E45" s="114"/>
      <c r="F45" s="114"/>
      <c r="G45" s="114"/>
      <c r="H45" s="114"/>
      <c r="I45" s="114"/>
      <c r="J45" s="114"/>
      <c r="K45" s="114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  <c r="AA45" s="187"/>
      <c r="AB45" s="187"/>
      <c r="AC45" s="187"/>
      <c r="AD45" s="187"/>
    </row>
    <row r="46">
      <c r="A46" s="114"/>
      <c r="B46" s="114"/>
      <c r="C46" s="114"/>
      <c r="D46" s="113"/>
      <c r="E46" s="114"/>
      <c r="F46" s="114"/>
      <c r="G46" s="114"/>
      <c r="H46" s="114"/>
      <c r="I46" s="114"/>
      <c r="J46" s="114"/>
      <c r="K46" s="114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  <c r="AA46" s="187"/>
      <c r="AB46" s="187"/>
      <c r="AC46" s="187"/>
      <c r="AD46" s="187"/>
    </row>
    <row r="47">
      <c r="A47" s="114"/>
      <c r="B47" s="114"/>
      <c r="C47" s="114"/>
      <c r="D47" s="113"/>
      <c r="E47" s="114"/>
      <c r="F47" s="114"/>
      <c r="G47" s="114"/>
      <c r="H47" s="114"/>
      <c r="I47" s="114"/>
      <c r="J47" s="114"/>
      <c r="K47" s="114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  <c r="AA47" s="187"/>
      <c r="AB47" s="187"/>
      <c r="AC47" s="187"/>
      <c r="AD47" s="187"/>
    </row>
    <row r="48">
      <c r="A48" s="114"/>
      <c r="B48" s="114"/>
      <c r="C48" s="114"/>
      <c r="D48" s="113"/>
      <c r="E48" s="114"/>
      <c r="F48" s="114"/>
      <c r="G48" s="114"/>
      <c r="H48" s="114"/>
      <c r="I48" s="114"/>
      <c r="J48" s="114"/>
      <c r="K48" s="114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  <c r="AB48" s="187"/>
      <c r="AC48" s="187"/>
      <c r="AD48" s="187"/>
    </row>
    <row r="49">
      <c r="A49" s="114"/>
      <c r="B49" s="114"/>
      <c r="C49" s="114"/>
      <c r="D49" s="113"/>
      <c r="E49" s="114"/>
      <c r="F49" s="114"/>
      <c r="G49" s="114"/>
      <c r="H49" s="114"/>
      <c r="I49" s="114"/>
      <c r="J49" s="114"/>
      <c r="K49" s="114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</row>
    <row r="50">
      <c r="A50" s="114"/>
      <c r="B50" s="114"/>
      <c r="C50" s="114"/>
      <c r="D50" s="113"/>
      <c r="E50" s="114"/>
      <c r="F50" s="114"/>
      <c r="G50" s="114"/>
      <c r="H50" s="114"/>
      <c r="I50" s="114"/>
      <c r="J50" s="114"/>
      <c r="K50" s="114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</row>
    <row r="51">
      <c r="A51" s="114"/>
      <c r="B51" s="114"/>
      <c r="C51" s="114"/>
      <c r="D51" s="113"/>
      <c r="E51" s="114"/>
      <c r="F51" s="114"/>
      <c r="G51" s="114"/>
      <c r="H51" s="114"/>
      <c r="I51" s="114"/>
      <c r="J51" s="114"/>
      <c r="K51" s="114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  <c r="AB51" s="187"/>
      <c r="AC51" s="187"/>
      <c r="AD51" s="187"/>
    </row>
    <row r="52">
      <c r="A52" s="114"/>
      <c r="B52" s="114"/>
      <c r="C52" s="114"/>
      <c r="D52" s="113"/>
      <c r="E52" s="114"/>
      <c r="F52" s="114"/>
      <c r="G52" s="114"/>
      <c r="H52" s="114"/>
      <c r="I52" s="114"/>
      <c r="J52" s="114"/>
      <c r="K52" s="114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  <c r="AB52" s="187"/>
      <c r="AC52" s="187"/>
      <c r="AD52" s="187"/>
    </row>
    <row r="53">
      <c r="A53" s="114"/>
      <c r="B53" s="114"/>
      <c r="C53" s="114"/>
      <c r="D53" s="113"/>
      <c r="E53" s="114"/>
      <c r="F53" s="114"/>
      <c r="G53" s="114"/>
      <c r="H53" s="114"/>
      <c r="I53" s="114"/>
      <c r="J53" s="114"/>
      <c r="K53" s="114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7"/>
    </row>
    <row r="54">
      <c r="A54" s="114"/>
      <c r="B54" s="114"/>
      <c r="C54" s="114"/>
      <c r="D54" s="113"/>
      <c r="E54" s="114"/>
      <c r="F54" s="114"/>
      <c r="G54" s="114"/>
      <c r="H54" s="114"/>
      <c r="I54" s="114"/>
      <c r="J54" s="114"/>
      <c r="K54" s="114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  <c r="AA54" s="187"/>
      <c r="AB54" s="187"/>
      <c r="AC54" s="187"/>
      <c r="AD54" s="187"/>
    </row>
    <row r="55">
      <c r="A55" s="114"/>
      <c r="B55" s="114"/>
      <c r="C55" s="114"/>
      <c r="D55" s="113"/>
      <c r="E55" s="114"/>
      <c r="F55" s="114"/>
      <c r="G55" s="114"/>
      <c r="H55" s="114"/>
      <c r="I55" s="114"/>
      <c r="J55" s="114"/>
      <c r="K55" s="114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7"/>
      <c r="AB55" s="187"/>
      <c r="AC55" s="187"/>
      <c r="AD55" s="187"/>
    </row>
    <row r="56">
      <c r="A56" s="114"/>
      <c r="B56" s="114"/>
      <c r="C56" s="114"/>
      <c r="D56" s="113"/>
      <c r="E56" s="114"/>
      <c r="F56" s="114"/>
      <c r="G56" s="114"/>
      <c r="H56" s="114"/>
      <c r="I56" s="114"/>
      <c r="J56" s="114"/>
      <c r="K56" s="114"/>
      <c r="L56" s="187"/>
      <c r="M56" s="187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7"/>
      <c r="AB56" s="187"/>
      <c r="AC56" s="187"/>
      <c r="AD56" s="187"/>
    </row>
    <row r="57">
      <c r="A57" s="114"/>
      <c r="B57" s="114"/>
      <c r="C57" s="114"/>
      <c r="D57" s="113"/>
      <c r="E57" s="114"/>
      <c r="F57" s="114"/>
      <c r="G57" s="114"/>
      <c r="H57" s="114"/>
      <c r="I57" s="114"/>
      <c r="J57" s="114"/>
      <c r="K57" s="114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</row>
    <row r="58">
      <c r="A58" s="114"/>
      <c r="B58" s="114"/>
      <c r="C58" s="114"/>
      <c r="D58" s="113"/>
      <c r="E58" s="114"/>
      <c r="F58" s="114"/>
      <c r="G58" s="114"/>
      <c r="H58" s="114"/>
      <c r="I58" s="114"/>
      <c r="J58" s="114"/>
      <c r="K58" s="114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7"/>
      <c r="AB58" s="187"/>
      <c r="AC58" s="187"/>
      <c r="AD58" s="187"/>
    </row>
    <row r="59">
      <c r="A59" s="114"/>
      <c r="B59" s="114"/>
      <c r="C59" s="114"/>
      <c r="D59" s="113"/>
      <c r="E59" s="114"/>
      <c r="F59" s="114"/>
      <c r="G59" s="114"/>
      <c r="H59" s="114"/>
      <c r="I59" s="114"/>
      <c r="J59" s="114"/>
      <c r="K59" s="114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  <c r="AC59" s="187"/>
      <c r="AD59" s="187"/>
    </row>
    <row r="60">
      <c r="A60" s="114"/>
      <c r="B60" s="114"/>
      <c r="C60" s="114"/>
      <c r="D60" s="113"/>
      <c r="E60" s="114"/>
      <c r="F60" s="114"/>
      <c r="G60" s="114"/>
      <c r="H60" s="114"/>
      <c r="I60" s="114"/>
      <c r="J60" s="114"/>
      <c r="K60" s="114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</row>
    <row r="61">
      <c r="A61" s="114"/>
      <c r="B61" s="114"/>
      <c r="C61" s="114"/>
      <c r="D61" s="113"/>
      <c r="E61" s="114"/>
      <c r="F61" s="114"/>
      <c r="G61" s="114"/>
      <c r="H61" s="114"/>
      <c r="I61" s="114"/>
      <c r="J61" s="114"/>
      <c r="K61" s="114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</row>
    <row r="62">
      <c r="A62" s="114"/>
      <c r="B62" s="114"/>
      <c r="C62" s="114"/>
      <c r="D62" s="113"/>
      <c r="E62" s="114"/>
      <c r="F62" s="114"/>
      <c r="G62" s="114"/>
      <c r="H62" s="114"/>
      <c r="I62" s="114"/>
      <c r="J62" s="114"/>
      <c r="K62" s="114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7"/>
      <c r="AB62" s="187"/>
      <c r="AC62" s="187"/>
      <c r="AD62" s="187"/>
    </row>
    <row r="63">
      <c r="A63" s="114"/>
      <c r="B63" s="114"/>
      <c r="C63" s="114"/>
      <c r="D63" s="113"/>
      <c r="E63" s="114"/>
      <c r="F63" s="114"/>
      <c r="G63" s="114"/>
      <c r="H63" s="114"/>
      <c r="I63" s="114"/>
      <c r="J63" s="114"/>
      <c r="K63" s="114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7"/>
      <c r="AB63" s="187"/>
      <c r="AC63" s="187"/>
      <c r="AD63" s="187"/>
    </row>
    <row r="64">
      <c r="A64" s="114"/>
      <c r="B64" s="114"/>
      <c r="C64" s="114"/>
      <c r="D64" s="113"/>
      <c r="E64" s="114"/>
      <c r="F64" s="114"/>
      <c r="G64" s="114"/>
      <c r="H64" s="114"/>
      <c r="I64" s="114"/>
      <c r="J64" s="114"/>
      <c r="K64" s="114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7"/>
      <c r="AB64" s="187"/>
      <c r="AC64" s="187"/>
      <c r="AD64" s="187"/>
    </row>
    <row r="65">
      <c r="A65" s="114"/>
      <c r="B65" s="114"/>
      <c r="C65" s="114"/>
      <c r="D65" s="113"/>
      <c r="E65" s="114"/>
      <c r="F65" s="114"/>
      <c r="G65" s="114"/>
      <c r="H65" s="114"/>
      <c r="I65" s="114"/>
      <c r="J65" s="114"/>
      <c r="K65" s="114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  <c r="AD65" s="187"/>
    </row>
    <row r="66">
      <c r="A66" s="114"/>
      <c r="B66" s="114"/>
      <c r="C66" s="114"/>
      <c r="D66" s="113"/>
      <c r="E66" s="114"/>
      <c r="F66" s="114"/>
      <c r="G66" s="114"/>
      <c r="H66" s="114"/>
      <c r="I66" s="114"/>
      <c r="J66" s="114"/>
      <c r="K66" s="114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7"/>
      <c r="AB66" s="187"/>
      <c r="AC66" s="187"/>
      <c r="AD66" s="187"/>
    </row>
    <row r="67">
      <c r="A67" s="114"/>
      <c r="B67" s="114"/>
      <c r="C67" s="114"/>
      <c r="D67" s="113"/>
      <c r="E67" s="114"/>
      <c r="F67" s="114"/>
      <c r="G67" s="114"/>
      <c r="H67" s="114"/>
      <c r="I67" s="114"/>
      <c r="J67" s="114"/>
      <c r="K67" s="114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7"/>
      <c r="AB67" s="187"/>
      <c r="AC67" s="187"/>
      <c r="AD67" s="187"/>
    </row>
    <row r="68">
      <c r="A68" s="114"/>
      <c r="B68" s="114"/>
      <c r="C68" s="114"/>
      <c r="D68" s="113"/>
      <c r="E68" s="114"/>
      <c r="F68" s="114"/>
      <c r="G68" s="114"/>
      <c r="H68" s="114"/>
      <c r="I68" s="114"/>
      <c r="J68" s="114"/>
      <c r="K68" s="114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7"/>
      <c r="AB68" s="187"/>
      <c r="AC68" s="187"/>
      <c r="AD68" s="187"/>
    </row>
    <row r="69">
      <c r="A69" s="114"/>
      <c r="B69" s="114"/>
      <c r="C69" s="114"/>
      <c r="D69" s="113"/>
      <c r="E69" s="114"/>
      <c r="F69" s="114"/>
      <c r="G69" s="114"/>
      <c r="H69" s="114"/>
      <c r="I69" s="114"/>
      <c r="J69" s="114"/>
      <c r="K69" s="114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7"/>
      <c r="AB69" s="187"/>
      <c r="AC69" s="187"/>
      <c r="AD69" s="187"/>
    </row>
    <row r="70">
      <c r="A70" s="114"/>
      <c r="B70" s="114"/>
      <c r="C70" s="114"/>
      <c r="D70" s="113"/>
      <c r="E70" s="114"/>
      <c r="F70" s="114"/>
      <c r="G70" s="114"/>
      <c r="H70" s="114"/>
      <c r="I70" s="114"/>
      <c r="J70" s="114"/>
      <c r="K70" s="114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7"/>
      <c r="AB70" s="187"/>
      <c r="AC70" s="187"/>
      <c r="AD70" s="187"/>
    </row>
    <row r="71">
      <c r="A71" s="114"/>
      <c r="B71" s="114"/>
      <c r="C71" s="114"/>
      <c r="D71" s="113"/>
      <c r="E71" s="114"/>
      <c r="F71" s="114"/>
      <c r="G71" s="114"/>
      <c r="H71" s="114"/>
      <c r="I71" s="114"/>
      <c r="J71" s="114"/>
      <c r="K71" s="114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  <c r="AB71" s="187"/>
      <c r="AC71" s="187"/>
      <c r="AD71" s="187"/>
    </row>
    <row r="72">
      <c r="A72" s="114"/>
      <c r="B72" s="114"/>
      <c r="C72" s="114"/>
      <c r="D72" s="113"/>
      <c r="E72" s="114"/>
      <c r="F72" s="114"/>
      <c r="G72" s="114"/>
      <c r="H72" s="114"/>
      <c r="I72" s="114"/>
      <c r="J72" s="114"/>
      <c r="K72" s="114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  <c r="AA72" s="187"/>
      <c r="AB72" s="187"/>
      <c r="AC72" s="187"/>
      <c r="AD72" s="187"/>
    </row>
    <row r="73">
      <c r="A73" s="114"/>
      <c r="B73" s="114"/>
      <c r="C73" s="114"/>
      <c r="D73" s="113"/>
      <c r="E73" s="114"/>
      <c r="F73" s="114"/>
      <c r="G73" s="114"/>
      <c r="H73" s="114"/>
      <c r="I73" s="114"/>
      <c r="J73" s="114"/>
      <c r="K73" s="114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  <c r="AB73" s="187"/>
      <c r="AC73" s="187"/>
      <c r="AD73" s="187"/>
    </row>
    <row r="74">
      <c r="A74" s="114"/>
      <c r="B74" s="114"/>
      <c r="C74" s="114"/>
      <c r="D74" s="113"/>
      <c r="E74" s="114"/>
      <c r="F74" s="114"/>
      <c r="G74" s="114"/>
      <c r="H74" s="114"/>
      <c r="I74" s="114"/>
      <c r="J74" s="114"/>
      <c r="K74" s="114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  <c r="AA74" s="187"/>
      <c r="AB74" s="187"/>
      <c r="AC74" s="187"/>
      <c r="AD74" s="187"/>
    </row>
    <row r="75">
      <c r="A75" s="114"/>
      <c r="B75" s="114"/>
      <c r="C75" s="114"/>
      <c r="D75" s="113"/>
      <c r="E75" s="114"/>
      <c r="F75" s="114"/>
      <c r="G75" s="114"/>
      <c r="H75" s="114"/>
      <c r="I75" s="114"/>
      <c r="J75" s="114"/>
      <c r="K75" s="114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7"/>
      <c r="AB75" s="187"/>
      <c r="AC75" s="187"/>
      <c r="AD75" s="187"/>
    </row>
    <row r="76">
      <c r="A76" s="114"/>
      <c r="B76" s="114"/>
      <c r="C76" s="114"/>
      <c r="D76" s="113"/>
      <c r="E76" s="114"/>
      <c r="F76" s="114"/>
      <c r="G76" s="114"/>
      <c r="H76" s="114"/>
      <c r="I76" s="114"/>
      <c r="J76" s="114"/>
      <c r="K76" s="114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  <c r="AB76" s="187"/>
      <c r="AC76" s="187"/>
      <c r="AD76" s="187"/>
    </row>
    <row r="77">
      <c r="A77" s="114"/>
      <c r="B77" s="114"/>
      <c r="C77" s="114"/>
      <c r="D77" s="113"/>
      <c r="E77" s="114"/>
      <c r="F77" s="114"/>
      <c r="G77" s="114"/>
      <c r="H77" s="114"/>
      <c r="I77" s="114"/>
      <c r="J77" s="114"/>
      <c r="K77" s="114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187"/>
      <c r="AC77" s="187"/>
      <c r="AD77" s="187"/>
    </row>
    <row r="78">
      <c r="A78" s="114"/>
      <c r="B78" s="114"/>
      <c r="C78" s="114"/>
      <c r="D78" s="113"/>
      <c r="E78" s="114"/>
      <c r="F78" s="114"/>
      <c r="G78" s="114"/>
      <c r="H78" s="114"/>
      <c r="I78" s="114"/>
      <c r="J78" s="114"/>
      <c r="K78" s="114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87"/>
      <c r="AC78" s="187"/>
      <c r="AD78" s="187"/>
    </row>
    <row r="79">
      <c r="A79" s="114"/>
      <c r="B79" s="114"/>
      <c r="C79" s="114"/>
      <c r="D79" s="113"/>
      <c r="E79" s="114"/>
      <c r="F79" s="114"/>
      <c r="G79" s="114"/>
      <c r="H79" s="114"/>
      <c r="I79" s="114"/>
      <c r="J79" s="114"/>
      <c r="K79" s="114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  <c r="AB79" s="187"/>
      <c r="AC79" s="187"/>
      <c r="AD79" s="187"/>
    </row>
    <row r="80">
      <c r="A80" s="114"/>
      <c r="B80" s="114"/>
      <c r="C80" s="114"/>
      <c r="D80" s="113"/>
      <c r="E80" s="114"/>
      <c r="F80" s="114"/>
      <c r="G80" s="114"/>
      <c r="H80" s="114"/>
      <c r="I80" s="114"/>
      <c r="J80" s="114"/>
      <c r="K80" s="114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  <c r="AB80" s="187"/>
      <c r="AC80" s="187"/>
      <c r="AD80" s="187"/>
    </row>
    <row r="81">
      <c r="A81" s="114"/>
      <c r="B81" s="114"/>
      <c r="C81" s="114"/>
      <c r="D81" s="113"/>
      <c r="E81" s="114"/>
      <c r="F81" s="114"/>
      <c r="G81" s="114"/>
      <c r="H81" s="114"/>
      <c r="I81" s="114"/>
      <c r="J81" s="114"/>
      <c r="K81" s="114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  <c r="AA81" s="187"/>
      <c r="AB81" s="187"/>
      <c r="AC81" s="187"/>
      <c r="AD81" s="187"/>
    </row>
    <row r="82">
      <c r="A82" s="114"/>
      <c r="B82" s="114"/>
      <c r="C82" s="114"/>
      <c r="D82" s="113"/>
      <c r="E82" s="114"/>
      <c r="F82" s="114"/>
      <c r="G82" s="114"/>
      <c r="H82" s="114"/>
      <c r="I82" s="114"/>
      <c r="J82" s="114"/>
      <c r="K82" s="114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  <c r="AA82" s="187"/>
      <c r="AB82" s="187"/>
      <c r="AC82" s="187"/>
      <c r="AD82" s="187"/>
    </row>
    <row r="83">
      <c r="A83" s="114"/>
      <c r="B83" s="114"/>
      <c r="C83" s="114"/>
      <c r="D83" s="113"/>
      <c r="E83" s="114"/>
      <c r="F83" s="114"/>
      <c r="G83" s="114"/>
      <c r="H83" s="114"/>
      <c r="I83" s="114"/>
      <c r="J83" s="114"/>
      <c r="K83" s="114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  <c r="AB83" s="187"/>
      <c r="AC83" s="187"/>
      <c r="AD83" s="187"/>
    </row>
    <row r="84">
      <c r="A84" s="114"/>
      <c r="B84" s="114"/>
      <c r="C84" s="114"/>
      <c r="D84" s="113"/>
      <c r="E84" s="114"/>
      <c r="F84" s="114"/>
      <c r="G84" s="114"/>
      <c r="H84" s="114"/>
      <c r="I84" s="114"/>
      <c r="J84" s="114"/>
      <c r="K84" s="114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  <c r="AA84" s="187"/>
      <c r="AB84" s="187"/>
      <c r="AC84" s="187"/>
      <c r="AD84" s="187"/>
    </row>
    <row r="85">
      <c r="A85" s="114"/>
      <c r="B85" s="114"/>
      <c r="C85" s="114"/>
      <c r="D85" s="113"/>
      <c r="E85" s="114"/>
      <c r="F85" s="114"/>
      <c r="G85" s="114"/>
      <c r="H85" s="114"/>
      <c r="I85" s="114"/>
      <c r="J85" s="114"/>
      <c r="K85" s="114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  <c r="AB85" s="187"/>
      <c r="AC85" s="187"/>
      <c r="AD85" s="187"/>
    </row>
    <row r="86">
      <c r="A86" s="114"/>
      <c r="B86" s="114"/>
      <c r="C86" s="114"/>
      <c r="D86" s="113"/>
      <c r="E86" s="114"/>
      <c r="F86" s="114"/>
      <c r="G86" s="114"/>
      <c r="H86" s="114"/>
      <c r="I86" s="114"/>
      <c r="J86" s="114"/>
      <c r="K86" s="114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7"/>
      <c r="AB86" s="187"/>
      <c r="AC86" s="187"/>
      <c r="AD86" s="187"/>
    </row>
    <row r="87">
      <c r="A87" s="114"/>
      <c r="B87" s="114"/>
      <c r="C87" s="114"/>
      <c r="D87" s="113"/>
      <c r="E87" s="114"/>
      <c r="F87" s="114"/>
      <c r="G87" s="114"/>
      <c r="H87" s="114"/>
      <c r="I87" s="114"/>
      <c r="J87" s="114"/>
      <c r="K87" s="114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87"/>
      <c r="AB87" s="187"/>
      <c r="AC87" s="187"/>
      <c r="AD87" s="187"/>
    </row>
    <row r="88">
      <c r="A88" s="114"/>
      <c r="B88" s="114"/>
      <c r="C88" s="114"/>
      <c r="D88" s="113"/>
      <c r="E88" s="114"/>
      <c r="F88" s="114"/>
      <c r="G88" s="114"/>
      <c r="H88" s="114"/>
      <c r="I88" s="114"/>
      <c r="J88" s="114"/>
      <c r="K88" s="114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  <c r="AA88" s="187"/>
      <c r="AB88" s="187"/>
      <c r="AC88" s="187"/>
      <c r="AD88" s="187"/>
    </row>
    <row r="89">
      <c r="A89" s="114"/>
      <c r="B89" s="114"/>
      <c r="C89" s="114"/>
      <c r="D89" s="113"/>
      <c r="E89" s="114"/>
      <c r="F89" s="114"/>
      <c r="G89" s="114"/>
      <c r="H89" s="114"/>
      <c r="I89" s="114"/>
      <c r="J89" s="114"/>
      <c r="K89" s="114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  <c r="AA89" s="187"/>
      <c r="AB89" s="187"/>
      <c r="AC89" s="187"/>
      <c r="AD89" s="187"/>
    </row>
    <row r="90">
      <c r="A90" s="114"/>
      <c r="B90" s="114"/>
      <c r="C90" s="114"/>
      <c r="D90" s="113"/>
      <c r="E90" s="114"/>
      <c r="F90" s="114"/>
      <c r="G90" s="114"/>
      <c r="H90" s="114"/>
      <c r="I90" s="114"/>
      <c r="J90" s="114"/>
      <c r="K90" s="114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  <c r="AB90" s="187"/>
      <c r="AC90" s="187"/>
      <c r="AD90" s="187"/>
    </row>
    <row r="91">
      <c r="A91" s="114"/>
      <c r="B91" s="114"/>
      <c r="C91" s="114"/>
      <c r="D91" s="113"/>
      <c r="E91" s="114"/>
      <c r="F91" s="114"/>
      <c r="G91" s="114"/>
      <c r="H91" s="114"/>
      <c r="I91" s="114"/>
      <c r="J91" s="114"/>
      <c r="K91" s="114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  <c r="AA91" s="187"/>
      <c r="AB91" s="187"/>
      <c r="AC91" s="187"/>
      <c r="AD91" s="187"/>
    </row>
    <row r="92">
      <c r="A92" s="114"/>
      <c r="B92" s="114"/>
      <c r="C92" s="114"/>
      <c r="D92" s="113"/>
      <c r="E92" s="114"/>
      <c r="F92" s="114"/>
      <c r="G92" s="114"/>
      <c r="H92" s="114"/>
      <c r="I92" s="114"/>
      <c r="J92" s="114"/>
      <c r="K92" s="114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  <c r="AA92" s="187"/>
      <c r="AB92" s="187"/>
      <c r="AC92" s="187"/>
      <c r="AD92" s="187"/>
    </row>
    <row r="93">
      <c r="A93" s="114"/>
      <c r="B93" s="114"/>
      <c r="C93" s="114"/>
      <c r="D93" s="113"/>
      <c r="E93" s="114"/>
      <c r="F93" s="114"/>
      <c r="G93" s="114"/>
      <c r="H93" s="114"/>
      <c r="I93" s="114"/>
      <c r="J93" s="114"/>
      <c r="K93" s="114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  <c r="AA93" s="187"/>
      <c r="AB93" s="187"/>
      <c r="AC93" s="187"/>
      <c r="AD93" s="187"/>
    </row>
    <row r="94">
      <c r="A94" s="114"/>
      <c r="B94" s="114"/>
      <c r="C94" s="114"/>
      <c r="D94" s="113"/>
      <c r="E94" s="114"/>
      <c r="F94" s="114"/>
      <c r="G94" s="114"/>
      <c r="H94" s="114"/>
      <c r="I94" s="114"/>
      <c r="J94" s="114"/>
      <c r="K94" s="114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  <c r="AA94" s="187"/>
      <c r="AB94" s="187"/>
      <c r="AC94" s="187"/>
      <c r="AD94" s="187"/>
    </row>
    <row r="95">
      <c r="A95" s="114"/>
      <c r="B95" s="114"/>
      <c r="C95" s="114"/>
      <c r="D95" s="113"/>
      <c r="E95" s="114"/>
      <c r="F95" s="114"/>
      <c r="G95" s="114"/>
      <c r="H95" s="114"/>
      <c r="I95" s="114"/>
      <c r="J95" s="114"/>
      <c r="K95" s="114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  <c r="AA95" s="187"/>
      <c r="AB95" s="187"/>
      <c r="AC95" s="187"/>
      <c r="AD95" s="187"/>
    </row>
    <row r="96">
      <c r="A96" s="114"/>
      <c r="B96" s="114"/>
      <c r="C96" s="114"/>
      <c r="D96" s="113"/>
      <c r="E96" s="114"/>
      <c r="F96" s="114"/>
      <c r="G96" s="114"/>
      <c r="H96" s="114"/>
      <c r="I96" s="114"/>
      <c r="J96" s="114"/>
      <c r="K96" s="114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  <c r="AA96" s="187"/>
      <c r="AB96" s="187"/>
      <c r="AC96" s="187"/>
      <c r="AD96" s="187"/>
    </row>
    <row r="97">
      <c r="A97" s="114"/>
      <c r="B97" s="114"/>
      <c r="C97" s="114"/>
      <c r="D97" s="113"/>
      <c r="E97" s="114"/>
      <c r="F97" s="114"/>
      <c r="G97" s="114"/>
      <c r="H97" s="114"/>
      <c r="I97" s="114"/>
      <c r="J97" s="114"/>
      <c r="K97" s="114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  <c r="AA97" s="187"/>
      <c r="AB97" s="187"/>
      <c r="AC97" s="187"/>
      <c r="AD97" s="187"/>
    </row>
    <row r="98">
      <c r="A98" s="114"/>
      <c r="B98" s="114"/>
      <c r="C98" s="114"/>
      <c r="D98" s="113"/>
      <c r="E98" s="114"/>
      <c r="F98" s="114"/>
      <c r="G98" s="114"/>
      <c r="H98" s="114"/>
      <c r="I98" s="114"/>
      <c r="J98" s="114"/>
      <c r="K98" s="114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  <c r="AA98" s="187"/>
      <c r="AB98" s="187"/>
      <c r="AC98" s="187"/>
      <c r="AD98" s="187"/>
    </row>
    <row r="99">
      <c r="A99" s="114"/>
      <c r="B99" s="114"/>
      <c r="C99" s="114"/>
      <c r="D99" s="113"/>
      <c r="E99" s="114"/>
      <c r="F99" s="114"/>
      <c r="G99" s="114"/>
      <c r="H99" s="114"/>
      <c r="I99" s="114"/>
      <c r="J99" s="114"/>
      <c r="K99" s="114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  <c r="AA99" s="187"/>
      <c r="AB99" s="187"/>
      <c r="AC99" s="187"/>
      <c r="AD99" s="187"/>
    </row>
    <row r="100">
      <c r="A100" s="114"/>
      <c r="B100" s="114"/>
      <c r="C100" s="114"/>
      <c r="D100" s="113"/>
      <c r="E100" s="114"/>
      <c r="F100" s="114"/>
      <c r="G100" s="114"/>
      <c r="H100" s="114"/>
      <c r="I100" s="114"/>
      <c r="J100" s="114"/>
      <c r="K100" s="114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  <c r="AA100" s="187"/>
      <c r="AB100" s="187"/>
      <c r="AC100" s="187"/>
      <c r="AD100" s="187"/>
    </row>
    <row r="101">
      <c r="A101" s="114"/>
      <c r="B101" s="114"/>
      <c r="C101" s="114"/>
      <c r="D101" s="113"/>
      <c r="E101" s="114"/>
      <c r="F101" s="114"/>
      <c r="G101" s="114"/>
      <c r="H101" s="114"/>
      <c r="I101" s="114"/>
      <c r="J101" s="114"/>
      <c r="K101" s="114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  <c r="AA101" s="187"/>
      <c r="AB101" s="187"/>
      <c r="AC101" s="187"/>
      <c r="AD101" s="187"/>
    </row>
    <row r="102">
      <c r="A102" s="114"/>
      <c r="B102" s="114"/>
      <c r="C102" s="114"/>
      <c r="D102" s="113"/>
      <c r="E102" s="114"/>
      <c r="F102" s="114"/>
      <c r="G102" s="114"/>
      <c r="H102" s="114"/>
      <c r="I102" s="114"/>
      <c r="J102" s="114"/>
      <c r="K102" s="114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  <c r="AA102" s="187"/>
      <c r="AB102" s="187"/>
      <c r="AC102" s="187"/>
      <c r="AD102" s="187"/>
    </row>
    <row r="103">
      <c r="A103" s="114"/>
      <c r="B103" s="114"/>
      <c r="C103" s="114"/>
      <c r="D103" s="113"/>
      <c r="E103" s="114"/>
      <c r="F103" s="114"/>
      <c r="G103" s="114"/>
      <c r="H103" s="114"/>
      <c r="I103" s="114"/>
      <c r="J103" s="114"/>
      <c r="K103" s="114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  <c r="AB103" s="187"/>
      <c r="AC103" s="187"/>
      <c r="AD103" s="187"/>
    </row>
    <row r="104">
      <c r="A104" s="114"/>
      <c r="B104" s="114"/>
      <c r="C104" s="114"/>
      <c r="D104" s="113"/>
      <c r="E104" s="114"/>
      <c r="F104" s="114"/>
      <c r="G104" s="114"/>
      <c r="H104" s="114"/>
      <c r="I104" s="114"/>
      <c r="J104" s="114"/>
      <c r="K104" s="114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  <c r="AA104" s="187"/>
      <c r="AB104" s="187"/>
      <c r="AC104" s="187"/>
      <c r="AD104" s="187"/>
    </row>
    <row r="105">
      <c r="A105" s="114"/>
      <c r="B105" s="114"/>
      <c r="C105" s="114"/>
      <c r="D105" s="113"/>
      <c r="E105" s="114"/>
      <c r="F105" s="114"/>
      <c r="G105" s="114"/>
      <c r="H105" s="114"/>
      <c r="I105" s="114"/>
      <c r="J105" s="114"/>
      <c r="K105" s="114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  <c r="AA105" s="187"/>
      <c r="AB105" s="187"/>
      <c r="AC105" s="187"/>
      <c r="AD105" s="187"/>
    </row>
    <row r="106">
      <c r="A106" s="114"/>
      <c r="B106" s="114"/>
      <c r="C106" s="114"/>
      <c r="D106" s="113"/>
      <c r="E106" s="114"/>
      <c r="F106" s="114"/>
      <c r="G106" s="114"/>
      <c r="H106" s="114"/>
      <c r="I106" s="114"/>
      <c r="J106" s="114"/>
      <c r="K106" s="114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  <c r="AA106" s="187"/>
      <c r="AB106" s="187"/>
      <c r="AC106" s="187"/>
      <c r="AD106" s="187"/>
    </row>
    <row r="107">
      <c r="A107" s="114"/>
      <c r="B107" s="114"/>
      <c r="C107" s="114"/>
      <c r="D107" s="113"/>
      <c r="E107" s="114"/>
      <c r="F107" s="114"/>
      <c r="G107" s="114"/>
      <c r="H107" s="114"/>
      <c r="I107" s="114"/>
      <c r="J107" s="114"/>
      <c r="K107" s="114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  <c r="AB107" s="187"/>
      <c r="AC107" s="187"/>
      <c r="AD107" s="187"/>
    </row>
    <row r="108">
      <c r="A108" s="114"/>
      <c r="B108" s="114"/>
      <c r="C108" s="114"/>
      <c r="D108" s="113"/>
      <c r="E108" s="114"/>
      <c r="F108" s="114"/>
      <c r="G108" s="114"/>
      <c r="H108" s="114"/>
      <c r="I108" s="114"/>
      <c r="J108" s="114"/>
      <c r="K108" s="114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87"/>
      <c r="AB108" s="187"/>
      <c r="AC108" s="187"/>
      <c r="AD108" s="187"/>
    </row>
    <row r="109">
      <c r="A109" s="114"/>
      <c r="B109" s="114"/>
      <c r="C109" s="114"/>
      <c r="D109" s="113"/>
      <c r="E109" s="114"/>
      <c r="F109" s="114"/>
      <c r="G109" s="114"/>
      <c r="H109" s="114"/>
      <c r="I109" s="114"/>
      <c r="J109" s="114"/>
      <c r="K109" s="114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  <c r="AA109" s="187"/>
      <c r="AB109" s="187"/>
      <c r="AC109" s="187"/>
      <c r="AD109" s="187"/>
    </row>
    <row r="110">
      <c r="A110" s="114"/>
      <c r="B110" s="114"/>
      <c r="C110" s="114"/>
      <c r="D110" s="113"/>
      <c r="E110" s="114"/>
      <c r="F110" s="114"/>
      <c r="G110" s="114"/>
      <c r="H110" s="114"/>
      <c r="I110" s="114"/>
      <c r="J110" s="114"/>
      <c r="K110" s="114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  <c r="AA110" s="187"/>
      <c r="AB110" s="187"/>
      <c r="AC110" s="187"/>
      <c r="AD110" s="187"/>
    </row>
    <row r="111">
      <c r="A111" s="114"/>
      <c r="B111" s="114"/>
      <c r="C111" s="114"/>
      <c r="D111" s="113"/>
      <c r="E111" s="114"/>
      <c r="F111" s="114"/>
      <c r="G111" s="114"/>
      <c r="H111" s="114"/>
      <c r="I111" s="114"/>
      <c r="J111" s="114"/>
      <c r="K111" s="114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  <c r="AA111" s="187"/>
      <c r="AB111" s="187"/>
      <c r="AC111" s="187"/>
      <c r="AD111" s="187"/>
    </row>
    <row r="112">
      <c r="A112" s="114"/>
      <c r="B112" s="114"/>
      <c r="C112" s="114"/>
      <c r="D112" s="113"/>
      <c r="E112" s="114"/>
      <c r="F112" s="114"/>
      <c r="G112" s="114"/>
      <c r="H112" s="114"/>
      <c r="I112" s="114"/>
      <c r="J112" s="114"/>
      <c r="K112" s="114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</row>
    <row r="113">
      <c r="A113" s="114"/>
      <c r="B113" s="114"/>
      <c r="C113" s="114"/>
      <c r="D113" s="113"/>
      <c r="E113" s="114"/>
      <c r="F113" s="114"/>
      <c r="G113" s="114"/>
      <c r="H113" s="114"/>
      <c r="I113" s="114"/>
      <c r="J113" s="114"/>
      <c r="K113" s="114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  <c r="AA113" s="187"/>
      <c r="AB113" s="187"/>
      <c r="AC113" s="187"/>
      <c r="AD113" s="187"/>
    </row>
    <row r="114">
      <c r="A114" s="114"/>
      <c r="B114" s="114"/>
      <c r="C114" s="114"/>
      <c r="D114" s="113"/>
      <c r="E114" s="114"/>
      <c r="F114" s="114"/>
      <c r="G114" s="114"/>
      <c r="H114" s="114"/>
      <c r="I114" s="114"/>
      <c r="J114" s="114"/>
      <c r="K114" s="114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  <c r="AA114" s="187"/>
      <c r="AB114" s="187"/>
      <c r="AC114" s="187"/>
      <c r="AD114" s="187"/>
    </row>
    <row r="115">
      <c r="A115" s="114"/>
      <c r="B115" s="114"/>
      <c r="C115" s="114"/>
      <c r="D115" s="113"/>
      <c r="E115" s="114"/>
      <c r="F115" s="114"/>
      <c r="G115" s="114"/>
      <c r="H115" s="114"/>
      <c r="I115" s="114"/>
      <c r="J115" s="114"/>
      <c r="K115" s="114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  <c r="AA115" s="187"/>
      <c r="AB115" s="187"/>
      <c r="AC115" s="187"/>
      <c r="AD115" s="187"/>
    </row>
    <row r="116">
      <c r="A116" s="114"/>
      <c r="B116" s="114"/>
      <c r="C116" s="114"/>
      <c r="D116" s="113"/>
      <c r="E116" s="114"/>
      <c r="F116" s="114"/>
      <c r="G116" s="114"/>
      <c r="H116" s="114"/>
      <c r="I116" s="114"/>
      <c r="J116" s="114"/>
      <c r="K116" s="114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  <c r="AA116" s="187"/>
      <c r="AB116" s="187"/>
      <c r="AC116" s="187"/>
      <c r="AD116" s="187"/>
    </row>
    <row r="117">
      <c r="A117" s="114"/>
      <c r="B117" s="114"/>
      <c r="C117" s="114"/>
      <c r="D117" s="113"/>
      <c r="E117" s="114"/>
      <c r="F117" s="114"/>
      <c r="G117" s="114"/>
      <c r="H117" s="114"/>
      <c r="I117" s="114"/>
      <c r="J117" s="114"/>
      <c r="K117" s="114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87"/>
      <c r="AC117" s="187"/>
      <c r="AD117" s="187"/>
    </row>
    <row r="118">
      <c r="A118" s="114"/>
      <c r="B118" s="114"/>
      <c r="C118" s="114"/>
      <c r="D118" s="113"/>
      <c r="E118" s="114"/>
      <c r="F118" s="114"/>
      <c r="G118" s="114"/>
      <c r="H118" s="114"/>
      <c r="I118" s="114"/>
      <c r="J118" s="114"/>
      <c r="K118" s="114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  <c r="AB118" s="187"/>
      <c r="AC118" s="187"/>
      <c r="AD118" s="187"/>
    </row>
    <row r="119">
      <c r="A119" s="114"/>
      <c r="B119" s="114"/>
      <c r="C119" s="114"/>
      <c r="D119" s="113"/>
      <c r="E119" s="114"/>
      <c r="F119" s="114"/>
      <c r="G119" s="114"/>
      <c r="H119" s="114"/>
      <c r="I119" s="114"/>
      <c r="J119" s="114"/>
      <c r="K119" s="114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  <c r="AA119" s="187"/>
      <c r="AB119" s="187"/>
      <c r="AC119" s="187"/>
      <c r="AD119" s="187"/>
    </row>
    <row r="120">
      <c r="A120" s="114"/>
      <c r="B120" s="114"/>
      <c r="C120" s="114"/>
      <c r="D120" s="113"/>
      <c r="E120" s="114"/>
      <c r="F120" s="114"/>
      <c r="G120" s="114"/>
      <c r="H120" s="114"/>
      <c r="I120" s="114"/>
      <c r="J120" s="114"/>
      <c r="K120" s="114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87"/>
      <c r="AB120" s="187"/>
      <c r="AC120" s="187"/>
      <c r="AD120" s="187"/>
    </row>
    <row r="121">
      <c r="A121" s="114"/>
      <c r="B121" s="114"/>
      <c r="C121" s="114"/>
      <c r="D121" s="113"/>
      <c r="E121" s="114"/>
      <c r="F121" s="114"/>
      <c r="G121" s="114"/>
      <c r="H121" s="114"/>
      <c r="I121" s="114"/>
      <c r="J121" s="114"/>
      <c r="K121" s="114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  <c r="AB121" s="187"/>
      <c r="AC121" s="187"/>
      <c r="AD121" s="187"/>
    </row>
    <row r="122">
      <c r="A122" s="114"/>
      <c r="B122" s="114"/>
      <c r="C122" s="114"/>
      <c r="D122" s="113"/>
      <c r="E122" s="114"/>
      <c r="F122" s="114"/>
      <c r="G122" s="114"/>
      <c r="H122" s="114"/>
      <c r="I122" s="114"/>
      <c r="J122" s="114"/>
      <c r="K122" s="114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  <c r="AB122" s="187"/>
      <c r="AC122" s="187"/>
      <c r="AD122" s="187"/>
    </row>
    <row r="123">
      <c r="A123" s="114"/>
      <c r="B123" s="114"/>
      <c r="C123" s="114"/>
      <c r="D123" s="113"/>
      <c r="E123" s="114"/>
      <c r="F123" s="114"/>
      <c r="G123" s="114"/>
      <c r="H123" s="114"/>
      <c r="I123" s="114"/>
      <c r="J123" s="114"/>
      <c r="K123" s="114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  <c r="AA123" s="187"/>
      <c r="AB123" s="187"/>
      <c r="AC123" s="187"/>
      <c r="AD123" s="187"/>
    </row>
    <row r="124">
      <c r="A124" s="114"/>
      <c r="B124" s="114"/>
      <c r="C124" s="114"/>
      <c r="D124" s="113"/>
      <c r="E124" s="114"/>
      <c r="F124" s="114"/>
      <c r="G124" s="114"/>
      <c r="H124" s="114"/>
      <c r="I124" s="114"/>
      <c r="J124" s="114"/>
      <c r="K124" s="114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  <c r="AA124" s="187"/>
      <c r="AB124" s="187"/>
      <c r="AC124" s="187"/>
      <c r="AD124" s="187"/>
    </row>
    <row r="125">
      <c r="A125" s="114"/>
      <c r="B125" s="114"/>
      <c r="C125" s="114"/>
      <c r="D125" s="113"/>
      <c r="E125" s="114"/>
      <c r="F125" s="114"/>
      <c r="G125" s="114"/>
      <c r="H125" s="114"/>
      <c r="I125" s="114"/>
      <c r="J125" s="114"/>
      <c r="K125" s="114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  <c r="AB125" s="187"/>
      <c r="AC125" s="187"/>
      <c r="AD125" s="187"/>
    </row>
    <row r="126">
      <c r="A126" s="114"/>
      <c r="B126" s="114"/>
      <c r="C126" s="114"/>
      <c r="D126" s="113"/>
      <c r="E126" s="114"/>
      <c r="F126" s="114"/>
      <c r="G126" s="114"/>
      <c r="H126" s="114"/>
      <c r="I126" s="114"/>
      <c r="J126" s="114"/>
      <c r="K126" s="114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  <c r="AA126" s="187"/>
      <c r="AB126" s="187"/>
      <c r="AC126" s="187"/>
      <c r="AD126" s="187"/>
    </row>
    <row r="127">
      <c r="A127" s="114"/>
      <c r="B127" s="114"/>
      <c r="C127" s="114"/>
      <c r="D127" s="113"/>
      <c r="E127" s="114"/>
      <c r="F127" s="114"/>
      <c r="G127" s="114"/>
      <c r="H127" s="114"/>
      <c r="I127" s="114"/>
      <c r="J127" s="114"/>
      <c r="K127" s="114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  <c r="AB127" s="187"/>
      <c r="AC127" s="187"/>
      <c r="AD127" s="187"/>
    </row>
    <row r="128">
      <c r="A128" s="114"/>
      <c r="B128" s="114"/>
      <c r="C128" s="114"/>
      <c r="D128" s="113"/>
      <c r="E128" s="114"/>
      <c r="F128" s="114"/>
      <c r="G128" s="114"/>
      <c r="H128" s="114"/>
      <c r="I128" s="114"/>
      <c r="J128" s="114"/>
      <c r="K128" s="114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  <c r="AB128" s="187"/>
      <c r="AC128" s="187"/>
      <c r="AD128" s="187"/>
    </row>
    <row r="129">
      <c r="A129" s="114"/>
      <c r="B129" s="114"/>
      <c r="C129" s="114"/>
      <c r="D129" s="113"/>
      <c r="E129" s="114"/>
      <c r="F129" s="114"/>
      <c r="G129" s="114"/>
      <c r="H129" s="114"/>
      <c r="I129" s="114"/>
      <c r="J129" s="114"/>
      <c r="K129" s="114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  <c r="AB129" s="187"/>
      <c r="AC129" s="187"/>
      <c r="AD129" s="187"/>
    </row>
    <row r="130">
      <c r="A130" s="114"/>
      <c r="B130" s="114"/>
      <c r="C130" s="114"/>
      <c r="D130" s="113"/>
      <c r="E130" s="114"/>
      <c r="F130" s="114"/>
      <c r="G130" s="114"/>
      <c r="H130" s="114"/>
      <c r="I130" s="114"/>
      <c r="J130" s="114"/>
      <c r="K130" s="114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  <c r="AB130" s="187"/>
      <c r="AC130" s="187"/>
      <c r="AD130" s="187"/>
    </row>
    <row r="131">
      <c r="A131" s="114"/>
      <c r="B131" s="114"/>
      <c r="C131" s="114"/>
      <c r="D131" s="113"/>
      <c r="E131" s="114"/>
      <c r="F131" s="114"/>
      <c r="G131" s="114"/>
      <c r="H131" s="114"/>
      <c r="I131" s="114"/>
      <c r="J131" s="114"/>
      <c r="K131" s="114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  <c r="AA131" s="187"/>
      <c r="AB131" s="187"/>
      <c r="AC131" s="187"/>
      <c r="AD131" s="187"/>
    </row>
    <row r="132">
      <c r="A132" s="114"/>
      <c r="B132" s="114"/>
      <c r="C132" s="114"/>
      <c r="D132" s="113"/>
      <c r="E132" s="114"/>
      <c r="F132" s="114"/>
      <c r="G132" s="114"/>
      <c r="H132" s="114"/>
      <c r="I132" s="114"/>
      <c r="J132" s="114"/>
      <c r="K132" s="114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  <c r="AA132" s="187"/>
      <c r="AB132" s="187"/>
      <c r="AC132" s="187"/>
      <c r="AD132" s="187"/>
    </row>
    <row r="133">
      <c r="A133" s="114"/>
      <c r="B133" s="114"/>
      <c r="C133" s="114"/>
      <c r="D133" s="113"/>
      <c r="E133" s="114"/>
      <c r="F133" s="114"/>
      <c r="G133" s="114"/>
      <c r="H133" s="114"/>
      <c r="I133" s="114"/>
      <c r="J133" s="114"/>
      <c r="K133" s="114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  <c r="AB133" s="187"/>
      <c r="AC133" s="187"/>
      <c r="AD133" s="187"/>
    </row>
    <row r="134">
      <c r="A134" s="114"/>
      <c r="B134" s="114"/>
      <c r="C134" s="114"/>
      <c r="D134" s="113"/>
      <c r="E134" s="114"/>
      <c r="F134" s="114"/>
      <c r="G134" s="114"/>
      <c r="H134" s="114"/>
      <c r="I134" s="114"/>
      <c r="J134" s="114"/>
      <c r="K134" s="114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  <c r="AA134" s="187"/>
      <c r="AB134" s="187"/>
      <c r="AC134" s="187"/>
      <c r="AD134" s="187"/>
    </row>
    <row r="135">
      <c r="A135" s="114"/>
      <c r="B135" s="114"/>
      <c r="C135" s="114"/>
      <c r="D135" s="113"/>
      <c r="E135" s="114"/>
      <c r="F135" s="114"/>
      <c r="G135" s="114"/>
      <c r="H135" s="114"/>
      <c r="I135" s="114"/>
      <c r="J135" s="114"/>
      <c r="K135" s="114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  <c r="AB135" s="187"/>
      <c r="AC135" s="187"/>
      <c r="AD135" s="187"/>
    </row>
    <row r="136">
      <c r="A136" s="114"/>
      <c r="B136" s="114"/>
      <c r="C136" s="114"/>
      <c r="D136" s="113"/>
      <c r="E136" s="114"/>
      <c r="F136" s="114"/>
      <c r="G136" s="114"/>
      <c r="H136" s="114"/>
      <c r="I136" s="114"/>
      <c r="J136" s="114"/>
      <c r="K136" s="114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  <c r="AB136" s="187"/>
      <c r="AC136" s="187"/>
      <c r="AD136" s="187"/>
    </row>
    <row r="137">
      <c r="A137" s="114"/>
      <c r="B137" s="114"/>
      <c r="C137" s="114"/>
      <c r="D137" s="113"/>
      <c r="E137" s="114"/>
      <c r="F137" s="114"/>
      <c r="G137" s="114"/>
      <c r="H137" s="114"/>
      <c r="I137" s="114"/>
      <c r="J137" s="114"/>
      <c r="K137" s="114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  <c r="AB137" s="187"/>
      <c r="AC137" s="187"/>
      <c r="AD137" s="187"/>
    </row>
    <row r="138">
      <c r="A138" s="114"/>
      <c r="B138" s="114"/>
      <c r="C138" s="114"/>
      <c r="D138" s="113"/>
      <c r="E138" s="114"/>
      <c r="F138" s="114"/>
      <c r="G138" s="114"/>
      <c r="H138" s="114"/>
      <c r="I138" s="114"/>
      <c r="J138" s="114"/>
      <c r="K138" s="114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  <c r="AA138" s="187"/>
      <c r="AB138" s="187"/>
      <c r="AC138" s="187"/>
      <c r="AD138" s="187"/>
    </row>
    <row r="139">
      <c r="A139" s="114"/>
      <c r="B139" s="114"/>
      <c r="C139" s="114"/>
      <c r="D139" s="113"/>
      <c r="E139" s="114"/>
      <c r="F139" s="114"/>
      <c r="G139" s="114"/>
      <c r="H139" s="114"/>
      <c r="I139" s="114"/>
      <c r="J139" s="114"/>
      <c r="K139" s="114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  <c r="AA139" s="187"/>
      <c r="AB139" s="187"/>
      <c r="AC139" s="187"/>
      <c r="AD139" s="187"/>
    </row>
    <row r="140">
      <c r="A140" s="114"/>
      <c r="B140" s="114"/>
      <c r="C140" s="114"/>
      <c r="D140" s="113"/>
      <c r="E140" s="114"/>
      <c r="F140" s="114"/>
      <c r="G140" s="114"/>
      <c r="H140" s="114"/>
      <c r="I140" s="114"/>
      <c r="J140" s="114"/>
      <c r="K140" s="114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  <c r="AA140" s="187"/>
      <c r="AB140" s="187"/>
      <c r="AC140" s="187"/>
      <c r="AD140" s="187"/>
    </row>
    <row r="141">
      <c r="A141" s="114"/>
      <c r="B141" s="114"/>
      <c r="C141" s="114"/>
      <c r="D141" s="113"/>
      <c r="E141" s="114"/>
      <c r="F141" s="114"/>
      <c r="G141" s="114"/>
      <c r="H141" s="114"/>
      <c r="I141" s="114"/>
      <c r="J141" s="114"/>
      <c r="K141" s="114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  <c r="AA141" s="187"/>
      <c r="AB141" s="187"/>
      <c r="AC141" s="187"/>
      <c r="AD141" s="187"/>
    </row>
    <row r="142">
      <c r="A142" s="114"/>
      <c r="B142" s="114"/>
      <c r="C142" s="114"/>
      <c r="D142" s="113"/>
      <c r="E142" s="114"/>
      <c r="F142" s="114"/>
      <c r="G142" s="114"/>
      <c r="H142" s="114"/>
      <c r="I142" s="114"/>
      <c r="J142" s="114"/>
      <c r="K142" s="114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  <c r="AA142" s="187"/>
      <c r="AB142" s="187"/>
      <c r="AC142" s="187"/>
      <c r="AD142" s="187"/>
    </row>
    <row r="143">
      <c r="A143" s="114"/>
      <c r="B143" s="114"/>
      <c r="C143" s="114"/>
      <c r="D143" s="113"/>
      <c r="E143" s="114"/>
      <c r="F143" s="114"/>
      <c r="G143" s="114"/>
      <c r="H143" s="114"/>
      <c r="I143" s="114"/>
      <c r="J143" s="114"/>
      <c r="K143" s="114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  <c r="AA143" s="187"/>
      <c r="AB143" s="187"/>
      <c r="AC143" s="187"/>
      <c r="AD143" s="187"/>
    </row>
    <row r="144">
      <c r="A144" s="114"/>
      <c r="B144" s="114"/>
      <c r="C144" s="114"/>
      <c r="D144" s="113"/>
      <c r="E144" s="114"/>
      <c r="F144" s="114"/>
      <c r="G144" s="114"/>
      <c r="H144" s="114"/>
      <c r="I144" s="114"/>
      <c r="J144" s="114"/>
      <c r="K144" s="114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  <c r="AA144" s="187"/>
      <c r="AB144" s="187"/>
      <c r="AC144" s="187"/>
      <c r="AD144" s="187"/>
    </row>
    <row r="145">
      <c r="A145" s="114"/>
      <c r="B145" s="114"/>
      <c r="C145" s="114"/>
      <c r="D145" s="113"/>
      <c r="E145" s="114"/>
      <c r="F145" s="114"/>
      <c r="G145" s="114"/>
      <c r="H145" s="114"/>
      <c r="I145" s="114"/>
      <c r="J145" s="114"/>
      <c r="K145" s="114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  <c r="AA145" s="187"/>
      <c r="AB145" s="187"/>
      <c r="AC145" s="187"/>
      <c r="AD145" s="187"/>
    </row>
    <row r="146">
      <c r="A146" s="114"/>
      <c r="B146" s="114"/>
      <c r="C146" s="114"/>
      <c r="D146" s="113"/>
      <c r="E146" s="114"/>
      <c r="F146" s="114"/>
      <c r="G146" s="114"/>
      <c r="H146" s="114"/>
      <c r="I146" s="114"/>
      <c r="J146" s="114"/>
      <c r="K146" s="114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  <c r="AA146" s="187"/>
      <c r="AB146" s="187"/>
      <c r="AC146" s="187"/>
      <c r="AD146" s="187"/>
    </row>
    <row r="147">
      <c r="A147" s="114"/>
      <c r="B147" s="114"/>
      <c r="C147" s="114"/>
      <c r="D147" s="113"/>
      <c r="E147" s="114"/>
      <c r="F147" s="114"/>
      <c r="G147" s="114"/>
      <c r="H147" s="114"/>
      <c r="I147" s="114"/>
      <c r="J147" s="114"/>
      <c r="K147" s="114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  <c r="AA147" s="187"/>
      <c r="AB147" s="187"/>
      <c r="AC147" s="187"/>
      <c r="AD147" s="187"/>
    </row>
    <row r="148">
      <c r="A148" s="114"/>
      <c r="B148" s="114"/>
      <c r="C148" s="114"/>
      <c r="D148" s="113"/>
      <c r="E148" s="114"/>
      <c r="F148" s="114"/>
      <c r="G148" s="114"/>
      <c r="H148" s="114"/>
      <c r="I148" s="114"/>
      <c r="J148" s="114"/>
      <c r="K148" s="114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  <c r="AA148" s="187"/>
      <c r="AB148" s="187"/>
      <c r="AC148" s="187"/>
      <c r="AD148" s="187"/>
    </row>
    <row r="149">
      <c r="A149" s="114"/>
      <c r="B149" s="114"/>
      <c r="C149" s="114"/>
      <c r="D149" s="113"/>
      <c r="E149" s="114"/>
      <c r="F149" s="114"/>
      <c r="G149" s="114"/>
      <c r="H149" s="114"/>
      <c r="I149" s="114"/>
      <c r="J149" s="114"/>
      <c r="K149" s="114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  <c r="AA149" s="187"/>
      <c r="AB149" s="187"/>
      <c r="AC149" s="187"/>
      <c r="AD149" s="187"/>
    </row>
    <row r="150">
      <c r="A150" s="114"/>
      <c r="B150" s="114"/>
      <c r="C150" s="114"/>
      <c r="D150" s="113"/>
      <c r="E150" s="114"/>
      <c r="F150" s="114"/>
      <c r="G150" s="114"/>
      <c r="H150" s="114"/>
      <c r="I150" s="114"/>
      <c r="J150" s="114"/>
      <c r="K150" s="114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  <c r="AA150" s="187"/>
      <c r="AB150" s="187"/>
      <c r="AC150" s="187"/>
      <c r="AD150" s="187"/>
    </row>
    <row r="151">
      <c r="A151" s="114"/>
      <c r="B151" s="114"/>
      <c r="C151" s="114"/>
      <c r="D151" s="113"/>
      <c r="E151" s="114"/>
      <c r="F151" s="114"/>
      <c r="G151" s="114"/>
      <c r="H151" s="114"/>
      <c r="I151" s="114"/>
      <c r="J151" s="114"/>
      <c r="K151" s="114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  <c r="AA151" s="187"/>
      <c r="AB151" s="187"/>
      <c r="AC151" s="187"/>
      <c r="AD151" s="187"/>
    </row>
    <row r="152">
      <c r="A152" s="114"/>
      <c r="B152" s="114"/>
      <c r="C152" s="114"/>
      <c r="D152" s="113"/>
      <c r="E152" s="114"/>
      <c r="F152" s="114"/>
      <c r="G152" s="114"/>
      <c r="H152" s="114"/>
      <c r="I152" s="114"/>
      <c r="J152" s="114"/>
      <c r="K152" s="114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  <c r="AA152" s="187"/>
      <c r="AB152" s="187"/>
      <c r="AC152" s="187"/>
      <c r="AD152" s="187"/>
    </row>
    <row r="153">
      <c r="A153" s="114"/>
      <c r="B153" s="114"/>
      <c r="C153" s="114"/>
      <c r="D153" s="113"/>
      <c r="E153" s="114"/>
      <c r="F153" s="114"/>
      <c r="G153" s="114"/>
      <c r="H153" s="114"/>
      <c r="I153" s="114"/>
      <c r="J153" s="114"/>
      <c r="K153" s="114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  <c r="AA153" s="187"/>
      <c r="AB153" s="187"/>
      <c r="AC153" s="187"/>
      <c r="AD153" s="187"/>
    </row>
    <row r="154">
      <c r="A154" s="114"/>
      <c r="B154" s="114"/>
      <c r="C154" s="114"/>
      <c r="D154" s="113"/>
      <c r="E154" s="114"/>
      <c r="F154" s="114"/>
      <c r="G154" s="114"/>
      <c r="H154" s="114"/>
      <c r="I154" s="114"/>
      <c r="J154" s="114"/>
      <c r="K154" s="114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  <c r="AA154" s="187"/>
      <c r="AB154" s="187"/>
      <c r="AC154" s="187"/>
      <c r="AD154" s="187"/>
    </row>
    <row r="155">
      <c r="A155" s="114"/>
      <c r="B155" s="114"/>
      <c r="C155" s="114"/>
      <c r="D155" s="113"/>
      <c r="E155" s="114"/>
      <c r="F155" s="114"/>
      <c r="G155" s="114"/>
      <c r="H155" s="114"/>
      <c r="I155" s="114"/>
      <c r="J155" s="114"/>
      <c r="K155" s="114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  <c r="AA155" s="187"/>
      <c r="AB155" s="187"/>
      <c r="AC155" s="187"/>
      <c r="AD155" s="187"/>
    </row>
    <row r="156">
      <c r="A156" s="114"/>
      <c r="B156" s="114"/>
      <c r="C156" s="114"/>
      <c r="D156" s="113"/>
      <c r="E156" s="114"/>
      <c r="F156" s="114"/>
      <c r="G156" s="114"/>
      <c r="H156" s="114"/>
      <c r="I156" s="114"/>
      <c r="J156" s="114"/>
      <c r="K156" s="114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  <c r="AA156" s="187"/>
      <c r="AB156" s="187"/>
      <c r="AC156" s="187"/>
      <c r="AD156" s="187"/>
    </row>
    <row r="157">
      <c r="A157" s="114"/>
      <c r="B157" s="114"/>
      <c r="C157" s="114"/>
      <c r="D157" s="113"/>
      <c r="E157" s="114"/>
      <c r="F157" s="114"/>
      <c r="G157" s="114"/>
      <c r="H157" s="114"/>
      <c r="I157" s="114"/>
      <c r="J157" s="114"/>
      <c r="K157" s="114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  <c r="AA157" s="187"/>
      <c r="AB157" s="187"/>
      <c r="AC157" s="187"/>
      <c r="AD157" s="187"/>
    </row>
    <row r="158">
      <c r="A158" s="114"/>
      <c r="B158" s="114"/>
      <c r="C158" s="114"/>
      <c r="D158" s="113"/>
      <c r="E158" s="114"/>
      <c r="F158" s="114"/>
      <c r="G158" s="114"/>
      <c r="H158" s="114"/>
      <c r="I158" s="114"/>
      <c r="J158" s="114"/>
      <c r="K158" s="114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  <c r="AA158" s="187"/>
      <c r="AB158" s="187"/>
      <c r="AC158" s="187"/>
      <c r="AD158" s="187"/>
    </row>
    <row r="159">
      <c r="A159" s="114"/>
      <c r="B159" s="114"/>
      <c r="C159" s="114"/>
      <c r="D159" s="113"/>
      <c r="E159" s="114"/>
      <c r="F159" s="114"/>
      <c r="G159" s="114"/>
      <c r="H159" s="114"/>
      <c r="I159" s="114"/>
      <c r="J159" s="114"/>
      <c r="K159" s="114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  <c r="AA159" s="187"/>
      <c r="AB159" s="187"/>
      <c r="AC159" s="187"/>
      <c r="AD159" s="187"/>
    </row>
    <row r="160">
      <c r="A160" s="114"/>
      <c r="B160" s="114"/>
      <c r="C160" s="114"/>
      <c r="D160" s="113"/>
      <c r="E160" s="114"/>
      <c r="F160" s="114"/>
      <c r="G160" s="114"/>
      <c r="H160" s="114"/>
      <c r="I160" s="114"/>
      <c r="J160" s="114"/>
      <c r="K160" s="114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  <c r="AA160" s="187"/>
      <c r="AB160" s="187"/>
      <c r="AC160" s="187"/>
      <c r="AD160" s="187"/>
    </row>
    <row r="161">
      <c r="A161" s="114"/>
      <c r="B161" s="114"/>
      <c r="C161" s="114"/>
      <c r="D161" s="113"/>
      <c r="E161" s="114"/>
      <c r="F161" s="114"/>
      <c r="G161" s="114"/>
      <c r="H161" s="114"/>
      <c r="I161" s="114"/>
      <c r="J161" s="114"/>
      <c r="K161" s="114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  <c r="AA161" s="187"/>
      <c r="AB161" s="187"/>
      <c r="AC161" s="187"/>
      <c r="AD161" s="187"/>
    </row>
    <row r="162">
      <c r="A162" s="114"/>
      <c r="B162" s="114"/>
      <c r="C162" s="114"/>
      <c r="D162" s="113"/>
      <c r="E162" s="114"/>
      <c r="F162" s="114"/>
      <c r="G162" s="114"/>
      <c r="H162" s="114"/>
      <c r="I162" s="114"/>
      <c r="J162" s="114"/>
      <c r="K162" s="114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  <c r="AA162" s="187"/>
      <c r="AB162" s="187"/>
      <c r="AC162" s="187"/>
      <c r="AD162" s="187"/>
    </row>
    <row r="163">
      <c r="A163" s="114"/>
      <c r="B163" s="114"/>
      <c r="C163" s="114"/>
      <c r="D163" s="113"/>
      <c r="E163" s="114"/>
      <c r="F163" s="114"/>
      <c r="G163" s="114"/>
      <c r="H163" s="114"/>
      <c r="I163" s="114"/>
      <c r="J163" s="114"/>
      <c r="K163" s="114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  <c r="AA163" s="187"/>
      <c r="AB163" s="187"/>
      <c r="AC163" s="187"/>
      <c r="AD163" s="187"/>
    </row>
    <row r="164">
      <c r="A164" s="114"/>
      <c r="B164" s="114"/>
      <c r="C164" s="114"/>
      <c r="D164" s="113"/>
      <c r="E164" s="114"/>
      <c r="F164" s="114"/>
      <c r="G164" s="114"/>
      <c r="H164" s="114"/>
      <c r="I164" s="114"/>
      <c r="J164" s="114"/>
      <c r="K164" s="114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  <c r="AA164" s="187"/>
      <c r="AB164" s="187"/>
      <c r="AC164" s="187"/>
      <c r="AD164" s="187"/>
    </row>
    <row r="165">
      <c r="A165" s="114"/>
      <c r="B165" s="114"/>
      <c r="C165" s="114"/>
      <c r="D165" s="113"/>
      <c r="E165" s="114"/>
      <c r="F165" s="114"/>
      <c r="G165" s="114"/>
      <c r="H165" s="114"/>
      <c r="I165" s="114"/>
      <c r="J165" s="114"/>
      <c r="K165" s="114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  <c r="AA165" s="187"/>
      <c r="AB165" s="187"/>
      <c r="AC165" s="187"/>
      <c r="AD165" s="187"/>
    </row>
    <row r="166">
      <c r="A166" s="114"/>
      <c r="B166" s="114"/>
      <c r="C166" s="114"/>
      <c r="D166" s="113"/>
      <c r="E166" s="114"/>
      <c r="F166" s="114"/>
      <c r="G166" s="114"/>
      <c r="H166" s="114"/>
      <c r="I166" s="114"/>
      <c r="J166" s="114"/>
      <c r="K166" s="114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  <c r="AA166" s="187"/>
      <c r="AB166" s="187"/>
      <c r="AC166" s="187"/>
      <c r="AD166" s="187"/>
    </row>
    <row r="167">
      <c r="A167" s="114"/>
      <c r="B167" s="114"/>
      <c r="C167" s="114"/>
      <c r="D167" s="113"/>
      <c r="E167" s="114"/>
      <c r="F167" s="114"/>
      <c r="G167" s="114"/>
      <c r="H167" s="114"/>
      <c r="I167" s="114"/>
      <c r="J167" s="114"/>
      <c r="K167" s="114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  <c r="AA167" s="187"/>
      <c r="AB167" s="187"/>
      <c r="AC167" s="187"/>
      <c r="AD167" s="187"/>
    </row>
    <row r="168">
      <c r="A168" s="114"/>
      <c r="B168" s="114"/>
      <c r="C168" s="114"/>
      <c r="D168" s="113"/>
      <c r="E168" s="114"/>
      <c r="F168" s="114"/>
      <c r="G168" s="114"/>
      <c r="H168" s="114"/>
      <c r="I168" s="114"/>
      <c r="J168" s="114"/>
      <c r="K168" s="114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  <c r="AA168" s="187"/>
      <c r="AB168" s="187"/>
      <c r="AC168" s="187"/>
      <c r="AD168" s="187"/>
    </row>
    <row r="169">
      <c r="A169" s="114"/>
      <c r="B169" s="114"/>
      <c r="C169" s="114"/>
      <c r="D169" s="113"/>
      <c r="E169" s="114"/>
      <c r="F169" s="114"/>
      <c r="G169" s="114"/>
      <c r="H169" s="114"/>
      <c r="I169" s="114"/>
      <c r="J169" s="114"/>
      <c r="K169" s="114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  <c r="AA169" s="187"/>
      <c r="AB169" s="187"/>
      <c r="AC169" s="187"/>
      <c r="AD169" s="187"/>
    </row>
    <row r="170">
      <c r="A170" s="114"/>
      <c r="B170" s="114"/>
      <c r="C170" s="114"/>
      <c r="D170" s="113"/>
      <c r="E170" s="114"/>
      <c r="F170" s="114"/>
      <c r="G170" s="114"/>
      <c r="H170" s="114"/>
      <c r="I170" s="114"/>
      <c r="J170" s="114"/>
      <c r="K170" s="114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  <c r="AA170" s="187"/>
      <c r="AB170" s="187"/>
      <c r="AC170" s="187"/>
      <c r="AD170" s="187"/>
    </row>
    <row r="171">
      <c r="A171" s="114"/>
      <c r="B171" s="114"/>
      <c r="C171" s="114"/>
      <c r="D171" s="113"/>
      <c r="E171" s="114"/>
      <c r="F171" s="114"/>
      <c r="G171" s="114"/>
      <c r="H171" s="114"/>
      <c r="I171" s="114"/>
      <c r="J171" s="114"/>
      <c r="K171" s="114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  <c r="AA171" s="187"/>
      <c r="AB171" s="187"/>
      <c r="AC171" s="187"/>
      <c r="AD171" s="187"/>
    </row>
    <row r="172">
      <c r="A172" s="114"/>
      <c r="B172" s="114"/>
      <c r="C172" s="114"/>
      <c r="D172" s="113"/>
      <c r="E172" s="114"/>
      <c r="F172" s="114"/>
      <c r="G172" s="114"/>
      <c r="H172" s="114"/>
      <c r="I172" s="114"/>
      <c r="J172" s="114"/>
      <c r="K172" s="114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  <c r="AA172" s="187"/>
      <c r="AB172" s="187"/>
      <c r="AC172" s="187"/>
      <c r="AD172" s="187"/>
    </row>
    <row r="173">
      <c r="A173" s="114"/>
      <c r="B173" s="114"/>
      <c r="C173" s="114"/>
      <c r="D173" s="113"/>
      <c r="E173" s="114"/>
      <c r="F173" s="114"/>
      <c r="G173" s="114"/>
      <c r="H173" s="114"/>
      <c r="I173" s="114"/>
      <c r="J173" s="114"/>
      <c r="K173" s="114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  <c r="AA173" s="187"/>
      <c r="AB173" s="187"/>
      <c r="AC173" s="187"/>
      <c r="AD173" s="187"/>
    </row>
    <row r="174">
      <c r="A174" s="114"/>
      <c r="B174" s="114"/>
      <c r="C174" s="114"/>
      <c r="D174" s="113"/>
      <c r="E174" s="114"/>
      <c r="F174" s="114"/>
      <c r="G174" s="114"/>
      <c r="H174" s="114"/>
      <c r="I174" s="114"/>
      <c r="J174" s="114"/>
      <c r="K174" s="114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  <c r="AA174" s="187"/>
      <c r="AB174" s="187"/>
      <c r="AC174" s="187"/>
      <c r="AD174" s="187"/>
    </row>
    <row r="175">
      <c r="A175" s="114"/>
      <c r="B175" s="114"/>
      <c r="C175" s="114"/>
      <c r="D175" s="113"/>
      <c r="E175" s="114"/>
      <c r="F175" s="114"/>
      <c r="G175" s="114"/>
      <c r="H175" s="114"/>
      <c r="I175" s="114"/>
      <c r="J175" s="114"/>
      <c r="K175" s="114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  <c r="AA175" s="187"/>
      <c r="AB175" s="187"/>
      <c r="AC175" s="187"/>
      <c r="AD175" s="187"/>
    </row>
    <row r="176">
      <c r="A176" s="114"/>
      <c r="B176" s="114"/>
      <c r="C176" s="114"/>
      <c r="D176" s="113"/>
      <c r="E176" s="114"/>
      <c r="F176" s="114"/>
      <c r="G176" s="114"/>
      <c r="H176" s="114"/>
      <c r="I176" s="114"/>
      <c r="J176" s="114"/>
      <c r="K176" s="114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  <c r="AA176" s="187"/>
      <c r="AB176" s="187"/>
      <c r="AC176" s="187"/>
      <c r="AD176" s="187"/>
    </row>
    <row r="177">
      <c r="A177" s="114"/>
      <c r="B177" s="114"/>
      <c r="C177" s="114"/>
      <c r="D177" s="113"/>
      <c r="E177" s="114"/>
      <c r="F177" s="114"/>
      <c r="G177" s="114"/>
      <c r="H177" s="114"/>
      <c r="I177" s="114"/>
      <c r="J177" s="114"/>
      <c r="K177" s="114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  <c r="AA177" s="187"/>
      <c r="AB177" s="187"/>
      <c r="AC177" s="187"/>
      <c r="AD177" s="187"/>
    </row>
    <row r="178">
      <c r="A178" s="114"/>
      <c r="B178" s="114"/>
      <c r="C178" s="114"/>
      <c r="D178" s="113"/>
      <c r="E178" s="114"/>
      <c r="F178" s="114"/>
      <c r="G178" s="114"/>
      <c r="H178" s="114"/>
      <c r="I178" s="114"/>
      <c r="J178" s="114"/>
      <c r="K178" s="114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  <c r="AA178" s="187"/>
      <c r="AB178" s="187"/>
      <c r="AC178" s="187"/>
      <c r="AD178" s="187"/>
    </row>
    <row r="179">
      <c r="A179" s="114"/>
      <c r="B179" s="114"/>
      <c r="C179" s="114"/>
      <c r="D179" s="113"/>
      <c r="E179" s="114"/>
      <c r="F179" s="114"/>
      <c r="G179" s="114"/>
      <c r="H179" s="114"/>
      <c r="I179" s="114"/>
      <c r="J179" s="114"/>
      <c r="K179" s="114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  <c r="AA179" s="187"/>
      <c r="AB179" s="187"/>
      <c r="AC179" s="187"/>
      <c r="AD179" s="187"/>
    </row>
    <row r="180">
      <c r="A180" s="114"/>
      <c r="B180" s="114"/>
      <c r="C180" s="114"/>
      <c r="D180" s="113"/>
      <c r="E180" s="114"/>
      <c r="F180" s="114"/>
      <c r="G180" s="114"/>
      <c r="H180" s="114"/>
      <c r="I180" s="114"/>
      <c r="J180" s="114"/>
      <c r="K180" s="114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  <c r="AA180" s="187"/>
      <c r="AB180" s="187"/>
      <c r="AC180" s="187"/>
      <c r="AD180" s="187"/>
    </row>
    <row r="181">
      <c r="A181" s="114"/>
      <c r="B181" s="114"/>
      <c r="C181" s="114"/>
      <c r="D181" s="113"/>
      <c r="E181" s="114"/>
      <c r="F181" s="114"/>
      <c r="G181" s="114"/>
      <c r="H181" s="114"/>
      <c r="I181" s="114"/>
      <c r="J181" s="114"/>
      <c r="K181" s="114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  <c r="AA181" s="187"/>
      <c r="AB181" s="187"/>
      <c r="AC181" s="187"/>
      <c r="AD181" s="187"/>
    </row>
    <row r="182">
      <c r="A182" s="114"/>
      <c r="B182" s="114"/>
      <c r="C182" s="114"/>
      <c r="D182" s="113"/>
      <c r="E182" s="114"/>
      <c r="F182" s="114"/>
      <c r="G182" s="114"/>
      <c r="H182" s="114"/>
      <c r="I182" s="114"/>
      <c r="J182" s="114"/>
      <c r="K182" s="114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  <c r="AA182" s="187"/>
      <c r="AB182" s="187"/>
      <c r="AC182" s="187"/>
      <c r="AD182" s="187"/>
    </row>
    <row r="183">
      <c r="A183" s="114"/>
      <c r="B183" s="114"/>
      <c r="C183" s="114"/>
      <c r="D183" s="113"/>
      <c r="E183" s="114"/>
      <c r="F183" s="114"/>
      <c r="G183" s="114"/>
      <c r="H183" s="114"/>
      <c r="I183" s="114"/>
      <c r="J183" s="114"/>
      <c r="K183" s="114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  <c r="AA183" s="187"/>
      <c r="AB183" s="187"/>
      <c r="AC183" s="187"/>
      <c r="AD183" s="187"/>
    </row>
    <row r="184">
      <c r="A184" s="114"/>
      <c r="B184" s="114"/>
      <c r="C184" s="114"/>
      <c r="D184" s="113"/>
      <c r="E184" s="114"/>
      <c r="F184" s="114"/>
      <c r="G184" s="114"/>
      <c r="H184" s="114"/>
      <c r="I184" s="114"/>
      <c r="J184" s="114"/>
      <c r="K184" s="114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  <c r="AA184" s="187"/>
      <c r="AB184" s="187"/>
      <c r="AC184" s="187"/>
      <c r="AD184" s="187"/>
    </row>
    <row r="185">
      <c r="A185" s="114"/>
      <c r="B185" s="114"/>
      <c r="C185" s="114"/>
      <c r="D185" s="113"/>
      <c r="E185" s="114"/>
      <c r="F185" s="114"/>
      <c r="G185" s="114"/>
      <c r="H185" s="114"/>
      <c r="I185" s="114"/>
      <c r="J185" s="114"/>
      <c r="K185" s="114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  <c r="AA185" s="187"/>
      <c r="AB185" s="187"/>
      <c r="AC185" s="187"/>
      <c r="AD185" s="187"/>
    </row>
    <row r="186">
      <c r="A186" s="114"/>
      <c r="B186" s="114"/>
      <c r="C186" s="114"/>
      <c r="D186" s="113"/>
      <c r="E186" s="114"/>
      <c r="F186" s="114"/>
      <c r="G186" s="114"/>
      <c r="H186" s="114"/>
      <c r="I186" s="114"/>
      <c r="J186" s="114"/>
      <c r="K186" s="114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  <c r="AA186" s="187"/>
      <c r="AB186" s="187"/>
      <c r="AC186" s="187"/>
      <c r="AD186" s="187"/>
    </row>
    <row r="187">
      <c r="A187" s="114"/>
      <c r="B187" s="114"/>
      <c r="C187" s="114"/>
      <c r="D187" s="113"/>
      <c r="E187" s="114"/>
      <c r="F187" s="114"/>
      <c r="G187" s="114"/>
      <c r="H187" s="114"/>
      <c r="I187" s="114"/>
      <c r="J187" s="114"/>
      <c r="K187" s="114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  <c r="AA187" s="187"/>
      <c r="AB187" s="187"/>
      <c r="AC187" s="187"/>
      <c r="AD187" s="187"/>
    </row>
    <row r="188">
      <c r="A188" s="114"/>
      <c r="B188" s="114"/>
      <c r="C188" s="114"/>
      <c r="D188" s="113"/>
      <c r="E188" s="114"/>
      <c r="F188" s="114"/>
      <c r="G188" s="114"/>
      <c r="H188" s="114"/>
      <c r="I188" s="114"/>
      <c r="J188" s="114"/>
      <c r="K188" s="114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  <c r="AA188" s="187"/>
      <c r="AB188" s="187"/>
      <c r="AC188" s="187"/>
      <c r="AD188" s="187"/>
    </row>
    <row r="189">
      <c r="A189" s="114"/>
      <c r="B189" s="114"/>
      <c r="C189" s="114"/>
      <c r="D189" s="113"/>
      <c r="E189" s="114"/>
      <c r="F189" s="114"/>
      <c r="G189" s="114"/>
      <c r="H189" s="114"/>
      <c r="I189" s="114"/>
      <c r="J189" s="114"/>
      <c r="K189" s="114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  <c r="AA189" s="187"/>
      <c r="AB189" s="187"/>
      <c r="AC189" s="187"/>
      <c r="AD189" s="187"/>
    </row>
    <row r="190">
      <c r="A190" s="114"/>
      <c r="B190" s="114"/>
      <c r="C190" s="114"/>
      <c r="D190" s="113"/>
      <c r="E190" s="114"/>
      <c r="F190" s="114"/>
      <c r="G190" s="114"/>
      <c r="H190" s="114"/>
      <c r="I190" s="114"/>
      <c r="J190" s="114"/>
      <c r="K190" s="114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  <c r="AA190" s="187"/>
      <c r="AB190" s="187"/>
      <c r="AC190" s="187"/>
      <c r="AD190" s="187"/>
    </row>
    <row r="191">
      <c r="A191" s="114"/>
      <c r="B191" s="114"/>
      <c r="C191" s="114"/>
      <c r="D191" s="113"/>
      <c r="E191" s="114"/>
      <c r="F191" s="114"/>
      <c r="G191" s="114"/>
      <c r="H191" s="114"/>
      <c r="I191" s="114"/>
      <c r="J191" s="114"/>
      <c r="K191" s="114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  <c r="AA191" s="187"/>
      <c r="AB191" s="187"/>
      <c r="AC191" s="187"/>
      <c r="AD191" s="187"/>
    </row>
    <row r="192">
      <c r="A192" s="114"/>
      <c r="B192" s="114"/>
      <c r="C192" s="114"/>
      <c r="D192" s="113"/>
      <c r="E192" s="114"/>
      <c r="F192" s="114"/>
      <c r="G192" s="114"/>
      <c r="H192" s="114"/>
      <c r="I192" s="114"/>
      <c r="J192" s="114"/>
      <c r="K192" s="114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  <c r="AA192" s="187"/>
      <c r="AB192" s="187"/>
      <c r="AC192" s="187"/>
      <c r="AD192" s="187"/>
    </row>
    <row r="193">
      <c r="A193" s="114"/>
      <c r="B193" s="114"/>
      <c r="C193" s="114"/>
      <c r="D193" s="113"/>
      <c r="E193" s="114"/>
      <c r="F193" s="114"/>
      <c r="G193" s="114"/>
      <c r="H193" s="114"/>
      <c r="I193" s="114"/>
      <c r="J193" s="114"/>
      <c r="K193" s="114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  <c r="AA193" s="187"/>
      <c r="AB193" s="187"/>
      <c r="AC193" s="187"/>
      <c r="AD193" s="187"/>
    </row>
    <row r="194">
      <c r="A194" s="114"/>
      <c r="B194" s="114"/>
      <c r="C194" s="114"/>
      <c r="D194" s="113"/>
      <c r="E194" s="114"/>
      <c r="F194" s="114"/>
      <c r="G194" s="114"/>
      <c r="H194" s="114"/>
      <c r="I194" s="114"/>
      <c r="J194" s="114"/>
      <c r="K194" s="114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  <c r="AA194" s="187"/>
      <c r="AB194" s="187"/>
      <c r="AC194" s="187"/>
      <c r="AD194" s="187"/>
    </row>
    <row r="195">
      <c r="A195" s="114"/>
      <c r="B195" s="114"/>
      <c r="C195" s="114"/>
      <c r="D195" s="113"/>
      <c r="E195" s="114"/>
      <c r="F195" s="114"/>
      <c r="G195" s="114"/>
      <c r="H195" s="114"/>
      <c r="I195" s="114"/>
      <c r="J195" s="114"/>
      <c r="K195" s="114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  <c r="AA195" s="187"/>
      <c r="AB195" s="187"/>
      <c r="AC195" s="187"/>
      <c r="AD195" s="187"/>
    </row>
    <row r="196">
      <c r="A196" s="114"/>
      <c r="B196" s="114"/>
      <c r="C196" s="114"/>
      <c r="D196" s="113"/>
      <c r="E196" s="114"/>
      <c r="F196" s="114"/>
      <c r="G196" s="114"/>
      <c r="H196" s="114"/>
      <c r="I196" s="114"/>
      <c r="J196" s="114"/>
      <c r="K196" s="114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  <c r="AA196" s="187"/>
      <c r="AB196" s="187"/>
      <c r="AC196" s="187"/>
      <c r="AD196" s="187"/>
    </row>
    <row r="197">
      <c r="A197" s="114"/>
      <c r="B197" s="114"/>
      <c r="C197" s="114"/>
      <c r="D197" s="113"/>
      <c r="E197" s="114"/>
      <c r="F197" s="114"/>
      <c r="G197" s="114"/>
      <c r="H197" s="114"/>
      <c r="I197" s="114"/>
      <c r="J197" s="114"/>
      <c r="K197" s="114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  <c r="AA197" s="187"/>
      <c r="AB197" s="187"/>
      <c r="AC197" s="187"/>
      <c r="AD197" s="187"/>
    </row>
    <row r="198">
      <c r="A198" s="114"/>
      <c r="B198" s="114"/>
      <c r="C198" s="114"/>
      <c r="D198" s="113"/>
      <c r="E198" s="114"/>
      <c r="F198" s="114"/>
      <c r="G198" s="114"/>
      <c r="H198" s="114"/>
      <c r="I198" s="114"/>
      <c r="J198" s="114"/>
      <c r="K198" s="114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  <c r="AA198" s="187"/>
      <c r="AB198" s="187"/>
      <c r="AC198" s="187"/>
      <c r="AD198" s="187"/>
    </row>
    <row r="199">
      <c r="A199" s="114"/>
      <c r="B199" s="114"/>
      <c r="C199" s="114"/>
      <c r="D199" s="113"/>
      <c r="E199" s="114"/>
      <c r="F199" s="114"/>
      <c r="G199" s="114"/>
      <c r="H199" s="114"/>
      <c r="I199" s="114"/>
      <c r="J199" s="114"/>
      <c r="K199" s="114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  <c r="AA199" s="187"/>
      <c r="AB199" s="187"/>
      <c r="AC199" s="187"/>
      <c r="AD199" s="187"/>
    </row>
    <row r="200">
      <c r="A200" s="114"/>
      <c r="B200" s="114"/>
      <c r="C200" s="114"/>
      <c r="D200" s="113"/>
      <c r="E200" s="114"/>
      <c r="F200" s="114"/>
      <c r="G200" s="114"/>
      <c r="H200" s="114"/>
      <c r="I200" s="114"/>
      <c r="J200" s="114"/>
      <c r="K200" s="114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  <c r="AA200" s="187"/>
      <c r="AB200" s="187"/>
      <c r="AC200" s="187"/>
      <c r="AD200" s="187"/>
    </row>
    <row r="201">
      <c r="A201" s="114"/>
      <c r="B201" s="114"/>
      <c r="C201" s="114"/>
      <c r="D201" s="113"/>
      <c r="E201" s="114"/>
      <c r="F201" s="114"/>
      <c r="G201" s="114"/>
      <c r="H201" s="114"/>
      <c r="I201" s="114"/>
      <c r="J201" s="114"/>
      <c r="K201" s="114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  <c r="AA201" s="187"/>
      <c r="AB201" s="187"/>
      <c r="AC201" s="187"/>
      <c r="AD201" s="187"/>
    </row>
    <row r="202">
      <c r="A202" s="114"/>
      <c r="B202" s="114"/>
      <c r="C202" s="114"/>
      <c r="D202" s="113"/>
      <c r="E202" s="114"/>
      <c r="F202" s="114"/>
      <c r="G202" s="114"/>
      <c r="H202" s="114"/>
      <c r="I202" s="114"/>
      <c r="J202" s="114"/>
      <c r="K202" s="114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  <c r="AA202" s="187"/>
      <c r="AB202" s="187"/>
      <c r="AC202" s="187"/>
      <c r="AD202" s="187"/>
    </row>
    <row r="203">
      <c r="A203" s="114"/>
      <c r="B203" s="114"/>
      <c r="C203" s="114"/>
      <c r="D203" s="113"/>
      <c r="E203" s="114"/>
      <c r="F203" s="114"/>
      <c r="G203" s="114"/>
      <c r="H203" s="114"/>
      <c r="I203" s="114"/>
      <c r="J203" s="114"/>
      <c r="K203" s="114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  <c r="AA203" s="187"/>
      <c r="AB203" s="187"/>
      <c r="AC203" s="187"/>
      <c r="AD203" s="187"/>
    </row>
    <row r="204">
      <c r="A204" s="114"/>
      <c r="B204" s="114"/>
      <c r="C204" s="114"/>
      <c r="D204" s="113"/>
      <c r="E204" s="114"/>
      <c r="F204" s="114"/>
      <c r="G204" s="114"/>
      <c r="H204" s="114"/>
      <c r="I204" s="114"/>
      <c r="J204" s="114"/>
      <c r="K204" s="114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  <c r="AA204" s="187"/>
      <c r="AB204" s="187"/>
      <c r="AC204" s="187"/>
      <c r="AD204" s="187"/>
    </row>
    <row r="205">
      <c r="A205" s="114"/>
      <c r="B205" s="114"/>
      <c r="C205" s="114"/>
      <c r="D205" s="113"/>
      <c r="E205" s="114"/>
      <c r="F205" s="114"/>
      <c r="G205" s="114"/>
      <c r="H205" s="114"/>
      <c r="I205" s="114"/>
      <c r="J205" s="114"/>
      <c r="K205" s="114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  <c r="AA205" s="187"/>
      <c r="AB205" s="187"/>
      <c r="AC205" s="187"/>
      <c r="AD205" s="187"/>
    </row>
    <row r="206">
      <c r="A206" s="114"/>
      <c r="B206" s="114"/>
      <c r="C206" s="114"/>
      <c r="D206" s="113"/>
      <c r="E206" s="114"/>
      <c r="F206" s="114"/>
      <c r="G206" s="114"/>
      <c r="H206" s="114"/>
      <c r="I206" s="114"/>
      <c r="J206" s="114"/>
      <c r="K206" s="114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  <c r="AA206" s="187"/>
      <c r="AB206" s="187"/>
      <c r="AC206" s="187"/>
      <c r="AD206" s="187"/>
    </row>
    <row r="207">
      <c r="A207" s="114"/>
      <c r="B207" s="114"/>
      <c r="C207" s="114"/>
      <c r="D207" s="113"/>
      <c r="E207" s="114"/>
      <c r="F207" s="114"/>
      <c r="G207" s="114"/>
      <c r="H207" s="114"/>
      <c r="I207" s="114"/>
      <c r="J207" s="114"/>
      <c r="K207" s="114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  <c r="AA207" s="187"/>
      <c r="AB207" s="187"/>
      <c r="AC207" s="187"/>
      <c r="AD207" s="187"/>
    </row>
    <row r="208">
      <c r="A208" s="114"/>
      <c r="B208" s="114"/>
      <c r="C208" s="114"/>
      <c r="D208" s="113"/>
      <c r="E208" s="114"/>
      <c r="F208" s="114"/>
      <c r="G208" s="114"/>
      <c r="H208" s="114"/>
      <c r="I208" s="114"/>
      <c r="J208" s="114"/>
      <c r="K208" s="114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  <c r="AA208" s="187"/>
      <c r="AB208" s="187"/>
      <c r="AC208" s="187"/>
      <c r="AD208" s="187"/>
    </row>
    <row r="209">
      <c r="A209" s="114"/>
      <c r="B209" s="114"/>
      <c r="C209" s="114"/>
      <c r="D209" s="113"/>
      <c r="E209" s="114"/>
      <c r="F209" s="114"/>
      <c r="G209" s="114"/>
      <c r="H209" s="114"/>
      <c r="I209" s="114"/>
      <c r="J209" s="114"/>
      <c r="K209" s="114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  <c r="AA209" s="187"/>
      <c r="AB209" s="187"/>
      <c r="AC209" s="187"/>
      <c r="AD209" s="187"/>
    </row>
    <row r="210">
      <c r="A210" s="114"/>
      <c r="B210" s="114"/>
      <c r="C210" s="114"/>
      <c r="D210" s="113"/>
      <c r="E210" s="114"/>
      <c r="F210" s="114"/>
      <c r="G210" s="114"/>
      <c r="H210" s="114"/>
      <c r="I210" s="114"/>
      <c r="J210" s="114"/>
      <c r="K210" s="114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  <c r="AA210" s="187"/>
      <c r="AB210" s="187"/>
      <c r="AC210" s="187"/>
      <c r="AD210" s="187"/>
    </row>
    <row r="211">
      <c r="A211" s="114"/>
      <c r="B211" s="114"/>
      <c r="C211" s="114"/>
      <c r="D211" s="113"/>
      <c r="E211" s="114"/>
      <c r="F211" s="114"/>
      <c r="G211" s="114"/>
      <c r="H211" s="114"/>
      <c r="I211" s="114"/>
      <c r="J211" s="114"/>
      <c r="K211" s="114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  <c r="AA211" s="187"/>
      <c r="AB211" s="187"/>
      <c r="AC211" s="187"/>
      <c r="AD211" s="187"/>
    </row>
    <row r="212">
      <c r="A212" s="114"/>
      <c r="B212" s="114"/>
      <c r="C212" s="114"/>
      <c r="D212" s="113"/>
      <c r="E212" s="114"/>
      <c r="F212" s="114"/>
      <c r="G212" s="114"/>
      <c r="H212" s="114"/>
      <c r="I212" s="114"/>
      <c r="J212" s="114"/>
      <c r="K212" s="114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  <c r="AA212" s="187"/>
      <c r="AB212" s="187"/>
      <c r="AC212" s="187"/>
      <c r="AD212" s="187"/>
    </row>
    <row r="213">
      <c r="A213" s="114"/>
      <c r="B213" s="114"/>
      <c r="C213" s="114"/>
      <c r="D213" s="113"/>
      <c r="E213" s="114"/>
      <c r="F213" s="114"/>
      <c r="G213" s="114"/>
      <c r="H213" s="114"/>
      <c r="I213" s="114"/>
      <c r="J213" s="114"/>
      <c r="K213" s="114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  <c r="AA213" s="187"/>
      <c r="AB213" s="187"/>
      <c r="AC213" s="187"/>
      <c r="AD213" s="187"/>
    </row>
    <row r="214">
      <c r="A214" s="114"/>
      <c r="B214" s="114"/>
      <c r="C214" s="114"/>
      <c r="D214" s="113"/>
      <c r="E214" s="114"/>
      <c r="F214" s="114"/>
      <c r="G214" s="114"/>
      <c r="H214" s="114"/>
      <c r="I214" s="114"/>
      <c r="J214" s="114"/>
      <c r="K214" s="114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  <c r="AA214" s="187"/>
      <c r="AB214" s="187"/>
      <c r="AC214" s="187"/>
      <c r="AD214" s="187"/>
    </row>
    <row r="215">
      <c r="A215" s="114"/>
      <c r="B215" s="114"/>
      <c r="C215" s="114"/>
      <c r="D215" s="113"/>
      <c r="E215" s="114"/>
      <c r="F215" s="114"/>
      <c r="G215" s="114"/>
      <c r="H215" s="114"/>
      <c r="I215" s="114"/>
      <c r="J215" s="114"/>
      <c r="K215" s="114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  <c r="AA215" s="187"/>
      <c r="AB215" s="187"/>
      <c r="AC215" s="187"/>
      <c r="AD215" s="187"/>
    </row>
    <row r="216">
      <c r="A216" s="114"/>
      <c r="B216" s="114"/>
      <c r="C216" s="114"/>
      <c r="D216" s="113"/>
      <c r="E216" s="114"/>
      <c r="F216" s="114"/>
      <c r="G216" s="114"/>
      <c r="H216" s="114"/>
      <c r="I216" s="114"/>
      <c r="J216" s="114"/>
      <c r="K216" s="114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  <c r="AA216" s="187"/>
      <c r="AB216" s="187"/>
      <c r="AC216" s="187"/>
      <c r="AD216" s="187"/>
    </row>
    <row r="217">
      <c r="A217" s="114"/>
      <c r="B217" s="114"/>
      <c r="C217" s="114"/>
      <c r="D217" s="113"/>
      <c r="E217" s="114"/>
      <c r="F217" s="114"/>
      <c r="G217" s="114"/>
      <c r="H217" s="114"/>
      <c r="I217" s="114"/>
      <c r="J217" s="114"/>
      <c r="K217" s="114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  <c r="AA217" s="187"/>
      <c r="AB217" s="187"/>
      <c r="AC217" s="187"/>
      <c r="AD217" s="187"/>
    </row>
    <row r="218">
      <c r="A218" s="114"/>
      <c r="B218" s="114"/>
      <c r="C218" s="114"/>
      <c r="D218" s="113"/>
      <c r="E218" s="114"/>
      <c r="F218" s="114"/>
      <c r="G218" s="114"/>
      <c r="H218" s="114"/>
      <c r="I218" s="114"/>
      <c r="J218" s="114"/>
      <c r="K218" s="114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  <c r="AA218" s="187"/>
      <c r="AB218" s="187"/>
      <c r="AC218" s="187"/>
      <c r="AD218" s="187"/>
    </row>
    <row r="219">
      <c r="A219" s="114"/>
      <c r="B219" s="114"/>
      <c r="C219" s="114"/>
      <c r="D219" s="113"/>
      <c r="E219" s="114"/>
      <c r="F219" s="114"/>
      <c r="G219" s="114"/>
      <c r="H219" s="114"/>
      <c r="I219" s="114"/>
      <c r="J219" s="114"/>
      <c r="K219" s="114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  <c r="AA219" s="187"/>
      <c r="AB219" s="187"/>
      <c r="AC219" s="187"/>
      <c r="AD219" s="187"/>
    </row>
    <row r="220">
      <c r="A220" s="114"/>
      <c r="B220" s="114"/>
      <c r="C220" s="114"/>
      <c r="D220" s="113"/>
      <c r="E220" s="114"/>
      <c r="F220" s="114"/>
      <c r="G220" s="114"/>
      <c r="H220" s="114"/>
      <c r="I220" s="114"/>
      <c r="J220" s="114"/>
      <c r="K220" s="114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  <c r="AA220" s="187"/>
      <c r="AB220" s="187"/>
      <c r="AC220" s="187"/>
      <c r="AD220" s="187"/>
    </row>
    <row r="221">
      <c r="A221" s="114"/>
      <c r="B221" s="114"/>
      <c r="C221" s="114"/>
      <c r="D221" s="113"/>
      <c r="E221" s="114"/>
      <c r="F221" s="114"/>
      <c r="G221" s="114"/>
      <c r="H221" s="114"/>
      <c r="I221" s="114"/>
      <c r="J221" s="114"/>
      <c r="K221" s="114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  <c r="AA221" s="187"/>
      <c r="AB221" s="187"/>
      <c r="AC221" s="187"/>
      <c r="AD221" s="187"/>
    </row>
    <row r="222">
      <c r="A222" s="114"/>
      <c r="B222" s="114"/>
      <c r="C222" s="114"/>
      <c r="D222" s="113"/>
      <c r="E222" s="114"/>
      <c r="F222" s="114"/>
      <c r="G222" s="114"/>
      <c r="H222" s="114"/>
      <c r="I222" s="114"/>
      <c r="J222" s="114"/>
      <c r="K222" s="114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  <c r="AA222" s="187"/>
      <c r="AB222" s="187"/>
      <c r="AC222" s="187"/>
      <c r="AD222" s="187"/>
    </row>
    <row r="223">
      <c r="A223" s="114"/>
      <c r="B223" s="114"/>
      <c r="C223" s="114"/>
      <c r="D223" s="113"/>
      <c r="E223" s="114"/>
      <c r="F223" s="114"/>
      <c r="G223" s="114"/>
      <c r="H223" s="114"/>
      <c r="I223" s="114"/>
      <c r="J223" s="114"/>
      <c r="K223" s="114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  <c r="AA223" s="187"/>
      <c r="AB223" s="187"/>
      <c r="AC223" s="187"/>
      <c r="AD223" s="187"/>
    </row>
    <row r="224">
      <c r="A224" s="114"/>
      <c r="B224" s="114"/>
      <c r="C224" s="114"/>
      <c r="D224" s="113"/>
      <c r="E224" s="114"/>
      <c r="F224" s="114"/>
      <c r="G224" s="114"/>
      <c r="H224" s="114"/>
      <c r="I224" s="114"/>
      <c r="J224" s="114"/>
      <c r="K224" s="114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  <c r="AA224" s="187"/>
      <c r="AB224" s="187"/>
      <c r="AC224" s="187"/>
      <c r="AD224" s="187"/>
    </row>
    <row r="225">
      <c r="A225" s="114"/>
      <c r="B225" s="114"/>
      <c r="C225" s="114"/>
      <c r="D225" s="113"/>
      <c r="E225" s="114"/>
      <c r="F225" s="114"/>
      <c r="G225" s="114"/>
      <c r="H225" s="114"/>
      <c r="I225" s="114"/>
      <c r="J225" s="114"/>
      <c r="K225" s="114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  <c r="AA225" s="187"/>
      <c r="AB225" s="187"/>
      <c r="AC225" s="187"/>
      <c r="AD225" s="187"/>
    </row>
    <row r="226">
      <c r="A226" s="114"/>
      <c r="B226" s="114"/>
      <c r="C226" s="114"/>
      <c r="D226" s="113"/>
      <c r="E226" s="114"/>
      <c r="F226" s="114"/>
      <c r="G226" s="114"/>
      <c r="H226" s="114"/>
      <c r="I226" s="114"/>
      <c r="J226" s="114"/>
      <c r="K226" s="114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  <c r="AA226" s="187"/>
      <c r="AB226" s="187"/>
      <c r="AC226" s="187"/>
      <c r="AD226" s="187"/>
    </row>
    <row r="227">
      <c r="A227" s="114"/>
      <c r="B227" s="114"/>
      <c r="C227" s="114"/>
      <c r="D227" s="113"/>
      <c r="E227" s="114"/>
      <c r="F227" s="114"/>
      <c r="G227" s="114"/>
      <c r="H227" s="114"/>
      <c r="I227" s="114"/>
      <c r="J227" s="114"/>
      <c r="K227" s="114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  <c r="AA227" s="187"/>
      <c r="AB227" s="187"/>
      <c r="AC227" s="187"/>
      <c r="AD227" s="187"/>
    </row>
    <row r="228">
      <c r="A228" s="114"/>
      <c r="B228" s="114"/>
      <c r="C228" s="114"/>
      <c r="D228" s="113"/>
      <c r="E228" s="114"/>
      <c r="F228" s="114"/>
      <c r="G228" s="114"/>
      <c r="H228" s="114"/>
      <c r="I228" s="114"/>
      <c r="J228" s="114"/>
      <c r="K228" s="114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  <c r="AA228" s="187"/>
      <c r="AB228" s="187"/>
      <c r="AC228" s="187"/>
      <c r="AD228" s="187"/>
    </row>
    <row r="229">
      <c r="A229" s="114"/>
      <c r="B229" s="114"/>
      <c r="C229" s="114"/>
      <c r="D229" s="113"/>
      <c r="E229" s="114"/>
      <c r="F229" s="114"/>
      <c r="G229" s="114"/>
      <c r="H229" s="114"/>
      <c r="I229" s="114"/>
      <c r="J229" s="114"/>
      <c r="K229" s="114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  <c r="AA229" s="187"/>
      <c r="AB229" s="187"/>
      <c r="AC229" s="187"/>
      <c r="AD229" s="187"/>
    </row>
    <row r="230">
      <c r="A230" s="114"/>
      <c r="B230" s="114"/>
      <c r="C230" s="114"/>
      <c r="D230" s="113"/>
      <c r="E230" s="114"/>
      <c r="F230" s="114"/>
      <c r="G230" s="114"/>
      <c r="H230" s="114"/>
      <c r="I230" s="114"/>
      <c r="J230" s="114"/>
      <c r="K230" s="114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  <c r="AA230" s="187"/>
      <c r="AB230" s="187"/>
      <c r="AC230" s="187"/>
      <c r="AD230" s="187"/>
    </row>
    <row r="231">
      <c r="A231" s="114"/>
      <c r="B231" s="114"/>
      <c r="C231" s="114"/>
      <c r="D231" s="113"/>
      <c r="E231" s="114"/>
      <c r="F231" s="114"/>
      <c r="G231" s="114"/>
      <c r="H231" s="114"/>
      <c r="I231" s="114"/>
      <c r="J231" s="114"/>
      <c r="K231" s="114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  <c r="AA231" s="187"/>
      <c r="AB231" s="187"/>
      <c r="AC231" s="187"/>
      <c r="AD231" s="187"/>
    </row>
    <row r="232">
      <c r="A232" s="114"/>
      <c r="B232" s="114"/>
      <c r="C232" s="114"/>
      <c r="D232" s="113"/>
      <c r="E232" s="114"/>
      <c r="F232" s="114"/>
      <c r="G232" s="114"/>
      <c r="H232" s="114"/>
      <c r="I232" s="114"/>
      <c r="J232" s="114"/>
      <c r="K232" s="114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  <c r="AA232" s="187"/>
      <c r="AB232" s="187"/>
      <c r="AC232" s="187"/>
      <c r="AD232" s="187"/>
    </row>
    <row r="233">
      <c r="A233" s="114"/>
      <c r="B233" s="114"/>
      <c r="C233" s="114"/>
      <c r="D233" s="113"/>
      <c r="E233" s="114"/>
      <c r="F233" s="114"/>
      <c r="G233" s="114"/>
      <c r="H233" s="114"/>
      <c r="I233" s="114"/>
      <c r="J233" s="114"/>
      <c r="K233" s="114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  <c r="AA233" s="187"/>
      <c r="AB233" s="187"/>
      <c r="AC233" s="187"/>
      <c r="AD233" s="187"/>
    </row>
    <row r="234">
      <c r="A234" s="114"/>
      <c r="B234" s="114"/>
      <c r="C234" s="114"/>
      <c r="D234" s="113"/>
      <c r="E234" s="114"/>
      <c r="F234" s="114"/>
      <c r="G234" s="114"/>
      <c r="H234" s="114"/>
      <c r="I234" s="114"/>
      <c r="J234" s="114"/>
      <c r="K234" s="114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  <c r="AA234" s="187"/>
      <c r="AB234" s="187"/>
      <c r="AC234" s="187"/>
      <c r="AD234" s="187"/>
    </row>
    <row r="235">
      <c r="A235" s="114"/>
      <c r="B235" s="114"/>
      <c r="C235" s="114"/>
      <c r="D235" s="113"/>
      <c r="E235" s="114"/>
      <c r="F235" s="114"/>
      <c r="G235" s="114"/>
      <c r="H235" s="114"/>
      <c r="I235" s="114"/>
      <c r="J235" s="114"/>
      <c r="K235" s="114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  <c r="AA235" s="187"/>
      <c r="AB235" s="187"/>
      <c r="AC235" s="187"/>
      <c r="AD235" s="187"/>
    </row>
    <row r="236">
      <c r="A236" s="114"/>
      <c r="B236" s="114"/>
      <c r="C236" s="114"/>
      <c r="D236" s="113"/>
      <c r="E236" s="114"/>
      <c r="F236" s="114"/>
      <c r="G236" s="114"/>
      <c r="H236" s="114"/>
      <c r="I236" s="114"/>
      <c r="J236" s="114"/>
      <c r="K236" s="114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  <c r="AA236" s="187"/>
      <c r="AB236" s="187"/>
      <c r="AC236" s="187"/>
      <c r="AD236" s="187"/>
    </row>
    <row r="237">
      <c r="A237" s="114"/>
      <c r="B237" s="114"/>
      <c r="C237" s="114"/>
      <c r="D237" s="113"/>
      <c r="E237" s="114"/>
      <c r="F237" s="114"/>
      <c r="G237" s="114"/>
      <c r="H237" s="114"/>
      <c r="I237" s="114"/>
      <c r="J237" s="114"/>
      <c r="K237" s="114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  <c r="AA237" s="187"/>
      <c r="AB237" s="187"/>
      <c r="AC237" s="187"/>
      <c r="AD237" s="187"/>
    </row>
    <row r="238">
      <c r="A238" s="114"/>
      <c r="B238" s="114"/>
      <c r="C238" s="114"/>
      <c r="D238" s="113"/>
      <c r="E238" s="114"/>
      <c r="F238" s="114"/>
      <c r="G238" s="114"/>
      <c r="H238" s="114"/>
      <c r="I238" s="114"/>
      <c r="J238" s="114"/>
      <c r="K238" s="114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  <c r="AA238" s="187"/>
      <c r="AB238" s="187"/>
      <c r="AC238" s="187"/>
      <c r="AD238" s="187"/>
    </row>
    <row r="239">
      <c r="A239" s="114"/>
      <c r="B239" s="114"/>
      <c r="C239" s="114"/>
      <c r="D239" s="113"/>
      <c r="E239" s="114"/>
      <c r="F239" s="114"/>
      <c r="G239" s="114"/>
      <c r="H239" s="114"/>
      <c r="I239" s="114"/>
      <c r="J239" s="114"/>
      <c r="K239" s="114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  <c r="AA239" s="187"/>
      <c r="AB239" s="187"/>
      <c r="AC239" s="187"/>
      <c r="AD239" s="187"/>
    </row>
    <row r="240">
      <c r="A240" s="114"/>
      <c r="B240" s="114"/>
      <c r="C240" s="114"/>
      <c r="D240" s="113"/>
      <c r="E240" s="114"/>
      <c r="F240" s="114"/>
      <c r="G240" s="114"/>
      <c r="H240" s="114"/>
      <c r="I240" s="114"/>
      <c r="J240" s="114"/>
      <c r="K240" s="114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  <c r="AA240" s="187"/>
      <c r="AB240" s="187"/>
      <c r="AC240" s="187"/>
      <c r="AD240" s="187"/>
    </row>
    <row r="241">
      <c r="A241" s="114"/>
      <c r="B241" s="114"/>
      <c r="C241" s="114"/>
      <c r="D241" s="113"/>
      <c r="E241" s="114"/>
      <c r="F241" s="114"/>
      <c r="G241" s="114"/>
      <c r="H241" s="114"/>
      <c r="I241" s="114"/>
      <c r="J241" s="114"/>
      <c r="K241" s="114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  <c r="AA241" s="187"/>
      <c r="AB241" s="187"/>
      <c r="AC241" s="187"/>
      <c r="AD241" s="187"/>
    </row>
    <row r="242">
      <c r="A242" s="114"/>
      <c r="B242" s="114"/>
      <c r="C242" s="114"/>
      <c r="D242" s="113"/>
      <c r="E242" s="114"/>
      <c r="F242" s="114"/>
      <c r="G242" s="114"/>
      <c r="H242" s="114"/>
      <c r="I242" s="114"/>
      <c r="J242" s="114"/>
      <c r="K242" s="114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  <c r="AA242" s="187"/>
      <c r="AB242" s="187"/>
      <c r="AC242" s="187"/>
      <c r="AD242" s="187"/>
    </row>
    <row r="243">
      <c r="A243" s="114"/>
      <c r="B243" s="114"/>
      <c r="C243" s="114"/>
      <c r="D243" s="113"/>
      <c r="E243" s="114"/>
      <c r="F243" s="114"/>
      <c r="G243" s="114"/>
      <c r="H243" s="114"/>
      <c r="I243" s="114"/>
      <c r="J243" s="114"/>
      <c r="K243" s="114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  <c r="AA243" s="187"/>
      <c r="AB243" s="187"/>
      <c r="AC243" s="187"/>
      <c r="AD243" s="187"/>
    </row>
    <row r="244">
      <c r="A244" s="114"/>
      <c r="B244" s="114"/>
      <c r="C244" s="114"/>
      <c r="D244" s="113"/>
      <c r="E244" s="114"/>
      <c r="F244" s="114"/>
      <c r="G244" s="114"/>
      <c r="H244" s="114"/>
      <c r="I244" s="114"/>
      <c r="J244" s="114"/>
      <c r="K244" s="114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  <c r="AA244" s="187"/>
      <c r="AB244" s="187"/>
      <c r="AC244" s="187"/>
      <c r="AD244" s="187"/>
    </row>
    <row r="245">
      <c r="A245" s="114"/>
      <c r="B245" s="114"/>
      <c r="C245" s="114"/>
      <c r="D245" s="113"/>
      <c r="E245" s="114"/>
      <c r="F245" s="114"/>
      <c r="G245" s="114"/>
      <c r="H245" s="114"/>
      <c r="I245" s="114"/>
      <c r="J245" s="114"/>
      <c r="K245" s="114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  <c r="AA245" s="187"/>
      <c r="AB245" s="187"/>
      <c r="AC245" s="187"/>
      <c r="AD245" s="187"/>
    </row>
    <row r="246">
      <c r="A246" s="114"/>
      <c r="B246" s="114"/>
      <c r="C246" s="114"/>
      <c r="D246" s="113"/>
      <c r="E246" s="114"/>
      <c r="F246" s="114"/>
      <c r="G246" s="114"/>
      <c r="H246" s="114"/>
      <c r="I246" s="114"/>
      <c r="J246" s="114"/>
      <c r="K246" s="114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  <c r="AA246" s="187"/>
      <c r="AB246" s="187"/>
      <c r="AC246" s="187"/>
      <c r="AD246" s="187"/>
    </row>
    <row r="247">
      <c r="A247" s="114"/>
      <c r="B247" s="114"/>
      <c r="C247" s="114"/>
      <c r="D247" s="113"/>
      <c r="E247" s="114"/>
      <c r="F247" s="114"/>
      <c r="G247" s="114"/>
      <c r="H247" s="114"/>
      <c r="I247" s="114"/>
      <c r="J247" s="114"/>
      <c r="K247" s="114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  <c r="AA247" s="187"/>
      <c r="AB247" s="187"/>
      <c r="AC247" s="187"/>
      <c r="AD247" s="187"/>
    </row>
    <row r="248">
      <c r="A248" s="114"/>
      <c r="B248" s="114"/>
      <c r="C248" s="114"/>
      <c r="D248" s="113"/>
      <c r="E248" s="114"/>
      <c r="F248" s="114"/>
      <c r="G248" s="114"/>
      <c r="H248" s="114"/>
      <c r="I248" s="114"/>
      <c r="J248" s="114"/>
      <c r="K248" s="114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  <c r="AA248" s="187"/>
      <c r="AB248" s="187"/>
      <c r="AC248" s="187"/>
      <c r="AD248" s="187"/>
    </row>
    <row r="249">
      <c r="A249" s="114"/>
      <c r="B249" s="114"/>
      <c r="C249" s="114"/>
      <c r="D249" s="113"/>
      <c r="E249" s="114"/>
      <c r="F249" s="114"/>
      <c r="G249" s="114"/>
      <c r="H249" s="114"/>
      <c r="I249" s="114"/>
      <c r="J249" s="114"/>
      <c r="K249" s="114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  <c r="AA249" s="187"/>
      <c r="AB249" s="187"/>
      <c r="AC249" s="187"/>
      <c r="AD249" s="187"/>
    </row>
    <row r="250">
      <c r="A250" s="114"/>
      <c r="B250" s="114"/>
      <c r="C250" s="114"/>
      <c r="D250" s="113"/>
      <c r="E250" s="114"/>
      <c r="F250" s="114"/>
      <c r="G250" s="114"/>
      <c r="H250" s="114"/>
      <c r="I250" s="114"/>
      <c r="J250" s="114"/>
      <c r="K250" s="114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  <c r="AA250" s="187"/>
      <c r="AB250" s="187"/>
      <c r="AC250" s="187"/>
      <c r="AD250" s="187"/>
    </row>
    <row r="251">
      <c r="A251" s="114"/>
      <c r="B251" s="114"/>
      <c r="C251" s="114"/>
      <c r="D251" s="113"/>
      <c r="E251" s="114"/>
      <c r="F251" s="114"/>
      <c r="G251" s="114"/>
      <c r="H251" s="114"/>
      <c r="I251" s="114"/>
      <c r="J251" s="114"/>
      <c r="K251" s="114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  <c r="AA251" s="187"/>
      <c r="AB251" s="187"/>
      <c r="AC251" s="187"/>
      <c r="AD251" s="187"/>
    </row>
    <row r="252">
      <c r="A252" s="114"/>
      <c r="B252" s="114"/>
      <c r="C252" s="114"/>
      <c r="D252" s="113"/>
      <c r="E252" s="114"/>
      <c r="F252" s="114"/>
      <c r="G252" s="114"/>
      <c r="H252" s="114"/>
      <c r="I252" s="114"/>
      <c r="J252" s="114"/>
      <c r="K252" s="114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  <c r="AA252" s="187"/>
      <c r="AB252" s="187"/>
      <c r="AC252" s="187"/>
      <c r="AD252" s="187"/>
    </row>
    <row r="253">
      <c r="A253" s="114"/>
      <c r="B253" s="114"/>
      <c r="C253" s="114"/>
      <c r="D253" s="113"/>
      <c r="E253" s="114"/>
      <c r="F253" s="114"/>
      <c r="G253" s="114"/>
      <c r="H253" s="114"/>
      <c r="I253" s="114"/>
      <c r="J253" s="114"/>
      <c r="K253" s="114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  <c r="AA253" s="187"/>
      <c r="AB253" s="187"/>
      <c r="AC253" s="187"/>
      <c r="AD253" s="187"/>
    </row>
    <row r="254">
      <c r="A254" s="114"/>
      <c r="B254" s="114"/>
      <c r="C254" s="114"/>
      <c r="D254" s="113"/>
      <c r="E254" s="114"/>
      <c r="F254" s="114"/>
      <c r="G254" s="114"/>
      <c r="H254" s="114"/>
      <c r="I254" s="114"/>
      <c r="J254" s="114"/>
      <c r="K254" s="114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  <c r="AA254" s="187"/>
      <c r="AB254" s="187"/>
      <c r="AC254" s="187"/>
      <c r="AD254" s="187"/>
    </row>
    <row r="255">
      <c r="A255" s="114"/>
      <c r="B255" s="114"/>
      <c r="C255" s="114"/>
      <c r="D255" s="113"/>
      <c r="E255" s="114"/>
      <c r="F255" s="114"/>
      <c r="G255" s="114"/>
      <c r="H255" s="114"/>
      <c r="I255" s="114"/>
      <c r="J255" s="114"/>
      <c r="K255" s="114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  <c r="AA255" s="187"/>
      <c r="AB255" s="187"/>
      <c r="AC255" s="187"/>
      <c r="AD255" s="187"/>
    </row>
    <row r="256">
      <c r="A256" s="114"/>
      <c r="B256" s="114"/>
      <c r="C256" s="114"/>
      <c r="D256" s="113"/>
      <c r="E256" s="114"/>
      <c r="F256" s="114"/>
      <c r="G256" s="114"/>
      <c r="H256" s="114"/>
      <c r="I256" s="114"/>
      <c r="J256" s="114"/>
      <c r="K256" s="114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  <c r="AA256" s="187"/>
      <c r="AB256" s="187"/>
      <c r="AC256" s="187"/>
      <c r="AD256" s="187"/>
    </row>
    <row r="257">
      <c r="A257" s="114"/>
      <c r="B257" s="114"/>
      <c r="C257" s="114"/>
      <c r="D257" s="113"/>
      <c r="E257" s="114"/>
      <c r="F257" s="114"/>
      <c r="G257" s="114"/>
      <c r="H257" s="114"/>
      <c r="I257" s="114"/>
      <c r="J257" s="114"/>
      <c r="K257" s="114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  <c r="AA257" s="187"/>
      <c r="AB257" s="187"/>
      <c r="AC257" s="187"/>
      <c r="AD257" s="187"/>
    </row>
    <row r="258">
      <c r="A258" s="114"/>
      <c r="B258" s="114"/>
      <c r="C258" s="114"/>
      <c r="D258" s="113"/>
      <c r="E258" s="114"/>
      <c r="F258" s="114"/>
      <c r="G258" s="114"/>
      <c r="H258" s="114"/>
      <c r="I258" s="114"/>
      <c r="J258" s="114"/>
      <c r="K258" s="114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  <c r="AA258" s="187"/>
      <c r="AB258" s="187"/>
      <c r="AC258" s="187"/>
      <c r="AD258" s="187"/>
    </row>
    <row r="259">
      <c r="A259" s="114"/>
      <c r="B259" s="114"/>
      <c r="C259" s="114"/>
      <c r="D259" s="113"/>
      <c r="E259" s="114"/>
      <c r="F259" s="114"/>
      <c r="G259" s="114"/>
      <c r="H259" s="114"/>
      <c r="I259" s="114"/>
      <c r="J259" s="114"/>
      <c r="K259" s="114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  <c r="AA259" s="187"/>
      <c r="AB259" s="187"/>
      <c r="AC259" s="187"/>
      <c r="AD259" s="187"/>
    </row>
    <row r="260">
      <c r="A260" s="114"/>
      <c r="B260" s="114"/>
      <c r="C260" s="114"/>
      <c r="D260" s="113"/>
      <c r="E260" s="114"/>
      <c r="F260" s="114"/>
      <c r="G260" s="114"/>
      <c r="H260" s="114"/>
      <c r="I260" s="114"/>
      <c r="J260" s="114"/>
      <c r="K260" s="114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  <c r="AA260" s="187"/>
      <c r="AB260" s="187"/>
      <c r="AC260" s="187"/>
      <c r="AD260" s="187"/>
    </row>
    <row r="261">
      <c r="A261" s="114"/>
      <c r="B261" s="114"/>
      <c r="C261" s="114"/>
      <c r="D261" s="113"/>
      <c r="E261" s="114"/>
      <c r="F261" s="114"/>
      <c r="G261" s="114"/>
      <c r="H261" s="114"/>
      <c r="I261" s="114"/>
      <c r="J261" s="114"/>
      <c r="K261" s="114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  <c r="AA261" s="187"/>
      <c r="AB261" s="187"/>
      <c r="AC261" s="187"/>
      <c r="AD261" s="187"/>
    </row>
    <row r="262">
      <c r="A262" s="114"/>
      <c r="B262" s="114"/>
      <c r="C262" s="114"/>
      <c r="D262" s="113"/>
      <c r="E262" s="114"/>
      <c r="F262" s="114"/>
      <c r="G262" s="114"/>
      <c r="H262" s="114"/>
      <c r="I262" s="114"/>
      <c r="J262" s="114"/>
      <c r="K262" s="114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  <c r="AA262" s="187"/>
      <c r="AB262" s="187"/>
      <c r="AC262" s="187"/>
      <c r="AD262" s="187"/>
    </row>
    <row r="263">
      <c r="A263" s="114"/>
      <c r="B263" s="114"/>
      <c r="C263" s="114"/>
      <c r="D263" s="113"/>
      <c r="E263" s="114"/>
      <c r="F263" s="114"/>
      <c r="G263" s="114"/>
      <c r="H263" s="114"/>
      <c r="I263" s="114"/>
      <c r="J263" s="114"/>
      <c r="K263" s="114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  <c r="AA263" s="187"/>
      <c r="AB263" s="187"/>
      <c r="AC263" s="187"/>
      <c r="AD263" s="187"/>
    </row>
    <row r="264">
      <c r="A264" s="114"/>
      <c r="B264" s="114"/>
      <c r="C264" s="114"/>
      <c r="D264" s="113"/>
      <c r="E264" s="114"/>
      <c r="F264" s="114"/>
      <c r="G264" s="114"/>
      <c r="H264" s="114"/>
      <c r="I264" s="114"/>
      <c r="J264" s="114"/>
      <c r="K264" s="114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  <c r="AA264" s="187"/>
      <c r="AB264" s="187"/>
      <c r="AC264" s="187"/>
      <c r="AD264" s="187"/>
    </row>
    <row r="265">
      <c r="A265" s="114"/>
      <c r="B265" s="114"/>
      <c r="C265" s="114"/>
      <c r="D265" s="113"/>
      <c r="E265" s="114"/>
      <c r="F265" s="114"/>
      <c r="G265" s="114"/>
      <c r="H265" s="114"/>
      <c r="I265" s="114"/>
      <c r="J265" s="114"/>
      <c r="K265" s="114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  <c r="AA265" s="187"/>
      <c r="AB265" s="187"/>
      <c r="AC265" s="187"/>
      <c r="AD265" s="187"/>
    </row>
    <row r="266">
      <c r="A266" s="114"/>
      <c r="B266" s="114"/>
      <c r="C266" s="114"/>
      <c r="D266" s="113"/>
      <c r="E266" s="114"/>
      <c r="F266" s="114"/>
      <c r="G266" s="114"/>
      <c r="H266" s="114"/>
      <c r="I266" s="114"/>
      <c r="J266" s="114"/>
      <c r="K266" s="114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  <c r="AA266" s="187"/>
      <c r="AB266" s="187"/>
      <c r="AC266" s="187"/>
      <c r="AD266" s="187"/>
    </row>
    <row r="267">
      <c r="A267" s="114"/>
      <c r="B267" s="114"/>
      <c r="C267" s="114"/>
      <c r="D267" s="113"/>
      <c r="E267" s="114"/>
      <c r="F267" s="114"/>
      <c r="G267" s="114"/>
      <c r="H267" s="114"/>
      <c r="I267" s="114"/>
      <c r="J267" s="114"/>
      <c r="K267" s="114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  <c r="AA267" s="187"/>
      <c r="AB267" s="187"/>
      <c r="AC267" s="187"/>
      <c r="AD267" s="187"/>
    </row>
    <row r="268">
      <c r="A268" s="114"/>
      <c r="B268" s="114"/>
      <c r="C268" s="114"/>
      <c r="D268" s="113"/>
      <c r="E268" s="114"/>
      <c r="F268" s="114"/>
      <c r="G268" s="114"/>
      <c r="H268" s="114"/>
      <c r="I268" s="114"/>
      <c r="J268" s="114"/>
      <c r="K268" s="114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  <c r="AA268" s="187"/>
      <c r="AB268" s="187"/>
      <c r="AC268" s="187"/>
      <c r="AD268" s="187"/>
    </row>
    <row r="269">
      <c r="A269" s="114"/>
      <c r="B269" s="114"/>
      <c r="C269" s="114"/>
      <c r="D269" s="113"/>
      <c r="E269" s="114"/>
      <c r="F269" s="114"/>
      <c r="G269" s="114"/>
      <c r="H269" s="114"/>
      <c r="I269" s="114"/>
      <c r="J269" s="114"/>
      <c r="K269" s="114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  <c r="AA269" s="187"/>
      <c r="AB269" s="187"/>
      <c r="AC269" s="187"/>
      <c r="AD269" s="187"/>
    </row>
    <row r="270">
      <c r="A270" s="114"/>
      <c r="B270" s="114"/>
      <c r="C270" s="114"/>
      <c r="D270" s="113"/>
      <c r="E270" s="114"/>
      <c r="F270" s="114"/>
      <c r="G270" s="114"/>
      <c r="H270" s="114"/>
      <c r="I270" s="114"/>
      <c r="J270" s="114"/>
      <c r="K270" s="114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  <c r="AA270" s="187"/>
      <c r="AB270" s="187"/>
      <c r="AC270" s="187"/>
      <c r="AD270" s="187"/>
    </row>
    <row r="271">
      <c r="A271" s="114"/>
      <c r="B271" s="114"/>
      <c r="C271" s="114"/>
      <c r="D271" s="113"/>
      <c r="E271" s="114"/>
      <c r="F271" s="114"/>
      <c r="G271" s="114"/>
      <c r="H271" s="114"/>
      <c r="I271" s="114"/>
      <c r="J271" s="114"/>
      <c r="K271" s="114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  <c r="AA271" s="187"/>
      <c r="AB271" s="187"/>
      <c r="AC271" s="187"/>
      <c r="AD271" s="187"/>
    </row>
    <row r="272">
      <c r="A272" s="114"/>
      <c r="B272" s="114"/>
      <c r="C272" s="114"/>
      <c r="D272" s="113"/>
      <c r="E272" s="114"/>
      <c r="F272" s="114"/>
      <c r="G272" s="114"/>
      <c r="H272" s="114"/>
      <c r="I272" s="114"/>
      <c r="J272" s="114"/>
      <c r="K272" s="114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  <c r="AA272" s="187"/>
      <c r="AB272" s="187"/>
      <c r="AC272" s="187"/>
      <c r="AD272" s="187"/>
    </row>
    <row r="273">
      <c r="A273" s="114"/>
      <c r="B273" s="114"/>
      <c r="C273" s="114"/>
      <c r="D273" s="113"/>
      <c r="E273" s="114"/>
      <c r="F273" s="114"/>
      <c r="G273" s="114"/>
      <c r="H273" s="114"/>
      <c r="I273" s="114"/>
      <c r="J273" s="114"/>
      <c r="K273" s="114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  <c r="AA273" s="187"/>
      <c r="AB273" s="187"/>
      <c r="AC273" s="187"/>
      <c r="AD273" s="187"/>
    </row>
    <row r="274">
      <c r="A274" s="114"/>
      <c r="B274" s="114"/>
      <c r="C274" s="114"/>
      <c r="D274" s="113"/>
      <c r="E274" s="114"/>
      <c r="F274" s="114"/>
      <c r="G274" s="114"/>
      <c r="H274" s="114"/>
      <c r="I274" s="114"/>
      <c r="J274" s="114"/>
      <c r="K274" s="114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  <c r="AA274" s="187"/>
      <c r="AB274" s="187"/>
      <c r="AC274" s="187"/>
      <c r="AD274" s="187"/>
    </row>
    <row r="275">
      <c r="A275" s="114"/>
      <c r="B275" s="114"/>
      <c r="C275" s="114"/>
      <c r="D275" s="113"/>
      <c r="E275" s="114"/>
      <c r="F275" s="114"/>
      <c r="G275" s="114"/>
      <c r="H275" s="114"/>
      <c r="I275" s="114"/>
      <c r="J275" s="114"/>
      <c r="K275" s="114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  <c r="AA275" s="187"/>
      <c r="AB275" s="187"/>
      <c r="AC275" s="187"/>
      <c r="AD275" s="187"/>
    </row>
    <row r="276">
      <c r="A276" s="114"/>
      <c r="B276" s="114"/>
      <c r="C276" s="114"/>
      <c r="D276" s="113"/>
      <c r="E276" s="114"/>
      <c r="F276" s="114"/>
      <c r="G276" s="114"/>
      <c r="H276" s="114"/>
      <c r="I276" s="114"/>
      <c r="J276" s="114"/>
      <c r="K276" s="114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  <c r="AA276" s="187"/>
      <c r="AB276" s="187"/>
      <c r="AC276" s="187"/>
      <c r="AD276" s="187"/>
    </row>
    <row r="277">
      <c r="A277" s="114"/>
      <c r="B277" s="114"/>
      <c r="C277" s="114"/>
      <c r="D277" s="113"/>
      <c r="E277" s="114"/>
      <c r="F277" s="114"/>
      <c r="G277" s="114"/>
      <c r="H277" s="114"/>
      <c r="I277" s="114"/>
      <c r="J277" s="114"/>
      <c r="K277" s="114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  <c r="AA277" s="187"/>
      <c r="AB277" s="187"/>
      <c r="AC277" s="187"/>
      <c r="AD277" s="187"/>
    </row>
    <row r="278">
      <c r="A278" s="114"/>
      <c r="B278" s="114"/>
      <c r="C278" s="114"/>
      <c r="D278" s="113"/>
      <c r="E278" s="114"/>
      <c r="F278" s="114"/>
      <c r="G278" s="114"/>
      <c r="H278" s="114"/>
      <c r="I278" s="114"/>
      <c r="J278" s="114"/>
      <c r="K278" s="114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  <c r="AA278" s="187"/>
      <c r="AB278" s="187"/>
      <c r="AC278" s="187"/>
      <c r="AD278" s="187"/>
    </row>
    <row r="279">
      <c r="A279" s="114"/>
      <c r="B279" s="114"/>
      <c r="C279" s="114"/>
      <c r="D279" s="113"/>
      <c r="E279" s="114"/>
      <c r="F279" s="114"/>
      <c r="G279" s="114"/>
      <c r="H279" s="114"/>
      <c r="I279" s="114"/>
      <c r="J279" s="114"/>
      <c r="K279" s="114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  <c r="AA279" s="187"/>
      <c r="AB279" s="187"/>
      <c r="AC279" s="187"/>
      <c r="AD279" s="187"/>
    </row>
    <row r="280">
      <c r="A280" s="114"/>
      <c r="B280" s="114"/>
      <c r="C280" s="114"/>
      <c r="D280" s="113"/>
      <c r="E280" s="114"/>
      <c r="F280" s="114"/>
      <c r="G280" s="114"/>
      <c r="H280" s="114"/>
      <c r="I280" s="114"/>
      <c r="J280" s="114"/>
      <c r="K280" s="114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  <c r="AA280" s="187"/>
      <c r="AB280" s="187"/>
      <c r="AC280" s="187"/>
      <c r="AD280" s="187"/>
    </row>
    <row r="281">
      <c r="A281" s="114"/>
      <c r="B281" s="114"/>
      <c r="C281" s="114"/>
      <c r="D281" s="113"/>
      <c r="E281" s="114"/>
      <c r="F281" s="114"/>
      <c r="G281" s="114"/>
      <c r="H281" s="114"/>
      <c r="I281" s="114"/>
      <c r="J281" s="114"/>
      <c r="K281" s="114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  <c r="AA281" s="187"/>
      <c r="AB281" s="187"/>
      <c r="AC281" s="187"/>
      <c r="AD281" s="187"/>
    </row>
    <row r="282">
      <c r="A282" s="114"/>
      <c r="B282" s="114"/>
      <c r="C282" s="114"/>
      <c r="D282" s="113"/>
      <c r="E282" s="114"/>
      <c r="F282" s="114"/>
      <c r="G282" s="114"/>
      <c r="H282" s="114"/>
      <c r="I282" s="114"/>
      <c r="J282" s="114"/>
      <c r="K282" s="114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  <c r="AA282" s="187"/>
      <c r="AB282" s="187"/>
      <c r="AC282" s="187"/>
      <c r="AD282" s="187"/>
    </row>
    <row r="283">
      <c r="A283" s="114"/>
      <c r="B283" s="114"/>
      <c r="C283" s="114"/>
      <c r="D283" s="113"/>
      <c r="E283" s="114"/>
      <c r="F283" s="114"/>
      <c r="G283" s="114"/>
      <c r="H283" s="114"/>
      <c r="I283" s="114"/>
      <c r="J283" s="114"/>
      <c r="K283" s="114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  <c r="AA283" s="187"/>
      <c r="AB283" s="187"/>
      <c r="AC283" s="187"/>
      <c r="AD283" s="187"/>
    </row>
    <row r="284">
      <c r="A284" s="114"/>
      <c r="B284" s="114"/>
      <c r="C284" s="114"/>
      <c r="D284" s="113"/>
      <c r="E284" s="114"/>
      <c r="F284" s="114"/>
      <c r="G284" s="114"/>
      <c r="H284" s="114"/>
      <c r="I284" s="114"/>
      <c r="J284" s="114"/>
      <c r="K284" s="114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  <c r="AA284" s="187"/>
      <c r="AB284" s="187"/>
      <c r="AC284" s="187"/>
      <c r="AD284" s="187"/>
    </row>
    <row r="285">
      <c r="A285" s="114"/>
      <c r="B285" s="114"/>
      <c r="C285" s="114"/>
      <c r="D285" s="113"/>
      <c r="E285" s="114"/>
      <c r="F285" s="114"/>
      <c r="G285" s="114"/>
      <c r="H285" s="114"/>
      <c r="I285" s="114"/>
      <c r="J285" s="114"/>
      <c r="K285" s="114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  <c r="AA285" s="187"/>
      <c r="AB285" s="187"/>
      <c r="AC285" s="187"/>
      <c r="AD285" s="187"/>
    </row>
    <row r="286">
      <c r="A286" s="114"/>
      <c r="B286" s="114"/>
      <c r="C286" s="114"/>
      <c r="D286" s="113"/>
      <c r="E286" s="114"/>
      <c r="F286" s="114"/>
      <c r="G286" s="114"/>
      <c r="H286" s="114"/>
      <c r="I286" s="114"/>
      <c r="J286" s="114"/>
      <c r="K286" s="114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  <c r="AA286" s="187"/>
      <c r="AB286" s="187"/>
      <c r="AC286" s="187"/>
      <c r="AD286" s="187"/>
    </row>
    <row r="287">
      <c r="A287" s="114"/>
      <c r="B287" s="114"/>
      <c r="C287" s="114"/>
      <c r="D287" s="113"/>
      <c r="E287" s="114"/>
      <c r="F287" s="114"/>
      <c r="G287" s="114"/>
      <c r="H287" s="114"/>
      <c r="I287" s="114"/>
      <c r="J287" s="114"/>
      <c r="K287" s="114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  <c r="AA287" s="187"/>
      <c r="AB287" s="187"/>
      <c r="AC287" s="187"/>
      <c r="AD287" s="187"/>
    </row>
    <row r="288">
      <c r="A288" s="114"/>
      <c r="B288" s="114"/>
      <c r="C288" s="114"/>
      <c r="D288" s="113"/>
      <c r="E288" s="114"/>
      <c r="F288" s="114"/>
      <c r="G288" s="114"/>
      <c r="H288" s="114"/>
      <c r="I288" s="114"/>
      <c r="J288" s="114"/>
      <c r="K288" s="114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  <c r="AA288" s="187"/>
      <c r="AB288" s="187"/>
      <c r="AC288" s="187"/>
      <c r="AD288" s="187"/>
    </row>
    <row r="289">
      <c r="A289" s="114"/>
      <c r="B289" s="114"/>
      <c r="C289" s="114"/>
      <c r="D289" s="113"/>
      <c r="E289" s="114"/>
      <c r="F289" s="114"/>
      <c r="G289" s="114"/>
      <c r="H289" s="114"/>
      <c r="I289" s="114"/>
      <c r="J289" s="114"/>
      <c r="K289" s="114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  <c r="AA289" s="187"/>
      <c r="AB289" s="187"/>
      <c r="AC289" s="187"/>
      <c r="AD289" s="187"/>
    </row>
    <row r="290">
      <c r="A290" s="114"/>
      <c r="B290" s="114"/>
      <c r="C290" s="114"/>
      <c r="D290" s="113"/>
      <c r="E290" s="114"/>
      <c r="F290" s="114"/>
      <c r="G290" s="114"/>
      <c r="H290" s="114"/>
      <c r="I290" s="114"/>
      <c r="J290" s="114"/>
      <c r="K290" s="114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  <c r="AA290" s="187"/>
      <c r="AB290" s="187"/>
      <c r="AC290" s="187"/>
      <c r="AD290" s="187"/>
    </row>
    <row r="291">
      <c r="A291" s="114"/>
      <c r="B291" s="114"/>
      <c r="C291" s="114"/>
      <c r="D291" s="113"/>
      <c r="E291" s="114"/>
      <c r="F291" s="114"/>
      <c r="G291" s="114"/>
      <c r="H291" s="114"/>
      <c r="I291" s="114"/>
      <c r="J291" s="114"/>
      <c r="K291" s="114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  <c r="AA291" s="187"/>
      <c r="AB291" s="187"/>
      <c r="AC291" s="187"/>
      <c r="AD291" s="187"/>
    </row>
    <row r="292">
      <c r="A292" s="114"/>
      <c r="B292" s="114"/>
      <c r="C292" s="114"/>
      <c r="D292" s="113"/>
      <c r="E292" s="114"/>
      <c r="F292" s="114"/>
      <c r="G292" s="114"/>
      <c r="H292" s="114"/>
      <c r="I292" s="114"/>
      <c r="J292" s="114"/>
      <c r="K292" s="114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  <c r="AA292" s="187"/>
      <c r="AB292" s="187"/>
      <c r="AC292" s="187"/>
      <c r="AD292" s="187"/>
    </row>
    <row r="293">
      <c r="A293" s="114"/>
      <c r="B293" s="114"/>
      <c r="C293" s="114"/>
      <c r="D293" s="113"/>
      <c r="E293" s="114"/>
      <c r="F293" s="114"/>
      <c r="G293" s="114"/>
      <c r="H293" s="114"/>
      <c r="I293" s="114"/>
      <c r="J293" s="114"/>
      <c r="K293" s="114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  <c r="AA293" s="187"/>
      <c r="AB293" s="187"/>
      <c r="AC293" s="187"/>
      <c r="AD293" s="187"/>
    </row>
    <row r="294">
      <c r="A294" s="114"/>
      <c r="B294" s="114"/>
      <c r="C294" s="114"/>
      <c r="D294" s="113"/>
      <c r="E294" s="114"/>
      <c r="F294" s="114"/>
      <c r="G294" s="114"/>
      <c r="H294" s="114"/>
      <c r="I294" s="114"/>
      <c r="J294" s="114"/>
      <c r="K294" s="114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  <c r="AA294" s="187"/>
      <c r="AB294" s="187"/>
      <c r="AC294" s="187"/>
      <c r="AD294" s="187"/>
    </row>
    <row r="295">
      <c r="A295" s="114"/>
      <c r="B295" s="114"/>
      <c r="C295" s="114"/>
      <c r="D295" s="113"/>
      <c r="E295" s="114"/>
      <c r="F295" s="114"/>
      <c r="G295" s="114"/>
      <c r="H295" s="114"/>
      <c r="I295" s="114"/>
      <c r="J295" s="114"/>
      <c r="K295" s="114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  <c r="AA295" s="187"/>
      <c r="AB295" s="187"/>
      <c r="AC295" s="187"/>
      <c r="AD295" s="187"/>
    </row>
    <row r="296">
      <c r="A296" s="114"/>
      <c r="B296" s="114"/>
      <c r="C296" s="114"/>
      <c r="D296" s="113"/>
      <c r="E296" s="114"/>
      <c r="F296" s="114"/>
      <c r="G296" s="114"/>
      <c r="H296" s="114"/>
      <c r="I296" s="114"/>
      <c r="J296" s="114"/>
      <c r="K296" s="114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  <c r="AA296" s="187"/>
      <c r="AB296" s="187"/>
      <c r="AC296" s="187"/>
      <c r="AD296" s="187"/>
    </row>
    <row r="297">
      <c r="A297" s="114"/>
      <c r="B297" s="114"/>
      <c r="C297" s="114"/>
      <c r="D297" s="113"/>
      <c r="E297" s="114"/>
      <c r="F297" s="114"/>
      <c r="G297" s="114"/>
      <c r="H297" s="114"/>
      <c r="I297" s="114"/>
      <c r="J297" s="114"/>
      <c r="K297" s="114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  <c r="AA297" s="187"/>
      <c r="AB297" s="187"/>
      <c r="AC297" s="187"/>
      <c r="AD297" s="187"/>
    </row>
    <row r="298">
      <c r="A298" s="114"/>
      <c r="B298" s="114"/>
      <c r="C298" s="114"/>
      <c r="D298" s="113"/>
      <c r="E298" s="114"/>
      <c r="F298" s="114"/>
      <c r="G298" s="114"/>
      <c r="H298" s="114"/>
      <c r="I298" s="114"/>
      <c r="J298" s="114"/>
      <c r="K298" s="114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  <c r="AA298" s="187"/>
      <c r="AB298" s="187"/>
      <c r="AC298" s="187"/>
      <c r="AD298" s="187"/>
    </row>
    <row r="299">
      <c r="A299" s="114"/>
      <c r="B299" s="114"/>
      <c r="C299" s="114"/>
      <c r="D299" s="113"/>
      <c r="E299" s="114"/>
      <c r="F299" s="114"/>
      <c r="G299" s="114"/>
      <c r="H299" s="114"/>
      <c r="I299" s="114"/>
      <c r="J299" s="114"/>
      <c r="K299" s="114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  <c r="AA299" s="187"/>
      <c r="AB299" s="187"/>
      <c r="AC299" s="187"/>
      <c r="AD299" s="187"/>
    </row>
    <row r="300">
      <c r="A300" s="114"/>
      <c r="B300" s="114"/>
      <c r="C300" s="114"/>
      <c r="D300" s="113"/>
      <c r="E300" s="114"/>
      <c r="F300" s="114"/>
      <c r="G300" s="114"/>
      <c r="H300" s="114"/>
      <c r="I300" s="114"/>
      <c r="J300" s="114"/>
      <c r="K300" s="114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  <c r="AA300" s="187"/>
      <c r="AB300" s="187"/>
      <c r="AC300" s="187"/>
      <c r="AD300" s="187"/>
    </row>
    <row r="301">
      <c r="A301" s="114"/>
      <c r="B301" s="114"/>
      <c r="C301" s="114"/>
      <c r="D301" s="113"/>
      <c r="E301" s="114"/>
      <c r="F301" s="114"/>
      <c r="G301" s="114"/>
      <c r="H301" s="114"/>
      <c r="I301" s="114"/>
      <c r="J301" s="114"/>
      <c r="K301" s="114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  <c r="AA301" s="187"/>
      <c r="AB301" s="187"/>
      <c r="AC301" s="187"/>
      <c r="AD301" s="187"/>
    </row>
    <row r="302">
      <c r="A302" s="114"/>
      <c r="B302" s="114"/>
      <c r="C302" s="114"/>
      <c r="D302" s="113"/>
      <c r="E302" s="114"/>
      <c r="F302" s="114"/>
      <c r="G302" s="114"/>
      <c r="H302" s="114"/>
      <c r="I302" s="114"/>
      <c r="J302" s="114"/>
      <c r="K302" s="114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  <c r="AA302" s="187"/>
      <c r="AB302" s="187"/>
      <c r="AC302" s="187"/>
      <c r="AD302" s="187"/>
    </row>
    <row r="303">
      <c r="A303" s="114"/>
      <c r="B303" s="114"/>
      <c r="C303" s="114"/>
      <c r="D303" s="113"/>
      <c r="E303" s="114"/>
      <c r="F303" s="114"/>
      <c r="G303" s="114"/>
      <c r="H303" s="114"/>
      <c r="I303" s="114"/>
      <c r="J303" s="114"/>
      <c r="K303" s="114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  <c r="AA303" s="187"/>
      <c r="AB303" s="187"/>
      <c r="AC303" s="187"/>
      <c r="AD303" s="187"/>
    </row>
    <row r="304">
      <c r="A304" s="114"/>
      <c r="B304" s="114"/>
      <c r="C304" s="114"/>
      <c r="D304" s="113"/>
      <c r="E304" s="114"/>
      <c r="F304" s="114"/>
      <c r="G304" s="114"/>
      <c r="H304" s="114"/>
      <c r="I304" s="114"/>
      <c r="J304" s="114"/>
      <c r="K304" s="114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  <c r="AA304" s="187"/>
      <c r="AB304" s="187"/>
      <c r="AC304" s="187"/>
      <c r="AD304" s="187"/>
    </row>
    <row r="305">
      <c r="A305" s="114"/>
      <c r="B305" s="114"/>
      <c r="C305" s="114"/>
      <c r="D305" s="113"/>
      <c r="E305" s="114"/>
      <c r="F305" s="114"/>
      <c r="G305" s="114"/>
      <c r="H305" s="114"/>
      <c r="I305" s="114"/>
      <c r="J305" s="114"/>
      <c r="K305" s="114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  <c r="AA305" s="187"/>
      <c r="AB305" s="187"/>
      <c r="AC305" s="187"/>
      <c r="AD305" s="187"/>
    </row>
    <row r="306">
      <c r="A306" s="114"/>
      <c r="B306" s="114"/>
      <c r="C306" s="114"/>
      <c r="D306" s="113"/>
      <c r="E306" s="114"/>
      <c r="F306" s="114"/>
      <c r="G306" s="114"/>
      <c r="H306" s="114"/>
      <c r="I306" s="114"/>
      <c r="J306" s="114"/>
      <c r="K306" s="114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  <c r="AA306" s="187"/>
      <c r="AB306" s="187"/>
      <c r="AC306" s="187"/>
      <c r="AD306" s="187"/>
    </row>
    <row r="307">
      <c r="A307" s="114"/>
      <c r="B307" s="114"/>
      <c r="C307" s="114"/>
      <c r="D307" s="113"/>
      <c r="E307" s="114"/>
      <c r="F307" s="114"/>
      <c r="G307" s="114"/>
      <c r="H307" s="114"/>
      <c r="I307" s="114"/>
      <c r="J307" s="114"/>
      <c r="K307" s="114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  <c r="AA307" s="187"/>
      <c r="AB307" s="187"/>
      <c r="AC307" s="187"/>
      <c r="AD307" s="187"/>
    </row>
    <row r="308">
      <c r="A308" s="114"/>
      <c r="B308" s="114"/>
      <c r="C308" s="114"/>
      <c r="D308" s="113"/>
      <c r="E308" s="114"/>
      <c r="F308" s="114"/>
      <c r="G308" s="114"/>
      <c r="H308" s="114"/>
      <c r="I308" s="114"/>
      <c r="J308" s="114"/>
      <c r="K308" s="114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  <c r="AA308" s="187"/>
      <c r="AB308" s="187"/>
      <c r="AC308" s="187"/>
      <c r="AD308" s="187"/>
    </row>
    <row r="309">
      <c r="A309" s="114"/>
      <c r="B309" s="114"/>
      <c r="C309" s="114"/>
      <c r="D309" s="113"/>
      <c r="E309" s="114"/>
      <c r="F309" s="114"/>
      <c r="G309" s="114"/>
      <c r="H309" s="114"/>
      <c r="I309" s="114"/>
      <c r="J309" s="114"/>
      <c r="K309" s="114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  <c r="AA309" s="187"/>
      <c r="AB309" s="187"/>
      <c r="AC309" s="187"/>
      <c r="AD309" s="187"/>
    </row>
    <row r="310">
      <c r="A310" s="114"/>
      <c r="B310" s="114"/>
      <c r="C310" s="114"/>
      <c r="D310" s="113"/>
      <c r="E310" s="114"/>
      <c r="F310" s="114"/>
      <c r="G310" s="114"/>
      <c r="H310" s="114"/>
      <c r="I310" s="114"/>
      <c r="J310" s="114"/>
      <c r="K310" s="114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  <c r="AA310" s="187"/>
      <c r="AB310" s="187"/>
      <c r="AC310" s="187"/>
      <c r="AD310" s="187"/>
    </row>
    <row r="311">
      <c r="A311" s="114"/>
      <c r="B311" s="114"/>
      <c r="C311" s="114"/>
      <c r="D311" s="113"/>
      <c r="E311" s="114"/>
      <c r="F311" s="114"/>
      <c r="G311" s="114"/>
      <c r="H311" s="114"/>
      <c r="I311" s="114"/>
      <c r="J311" s="114"/>
      <c r="K311" s="114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  <c r="AA311" s="187"/>
      <c r="AB311" s="187"/>
      <c r="AC311" s="187"/>
      <c r="AD311" s="187"/>
    </row>
    <row r="312">
      <c r="A312" s="114"/>
      <c r="B312" s="114"/>
      <c r="C312" s="114"/>
      <c r="D312" s="113"/>
      <c r="E312" s="114"/>
      <c r="F312" s="114"/>
      <c r="G312" s="114"/>
      <c r="H312" s="114"/>
      <c r="I312" s="114"/>
      <c r="J312" s="114"/>
      <c r="K312" s="114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  <c r="AA312" s="187"/>
      <c r="AB312" s="187"/>
      <c r="AC312" s="187"/>
      <c r="AD312" s="187"/>
    </row>
    <row r="313">
      <c r="A313" s="114"/>
      <c r="B313" s="114"/>
      <c r="C313" s="114"/>
      <c r="D313" s="113"/>
      <c r="E313" s="114"/>
      <c r="F313" s="114"/>
      <c r="G313" s="114"/>
      <c r="H313" s="114"/>
      <c r="I313" s="114"/>
      <c r="J313" s="114"/>
      <c r="K313" s="114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  <c r="AA313" s="187"/>
      <c r="AB313" s="187"/>
      <c r="AC313" s="187"/>
      <c r="AD313" s="187"/>
    </row>
    <row r="314">
      <c r="A314" s="114"/>
      <c r="B314" s="114"/>
      <c r="C314" s="114"/>
      <c r="D314" s="113"/>
      <c r="E314" s="114"/>
      <c r="F314" s="114"/>
      <c r="G314" s="114"/>
      <c r="H314" s="114"/>
      <c r="I314" s="114"/>
      <c r="J314" s="114"/>
      <c r="K314" s="114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  <c r="AA314" s="187"/>
      <c r="AB314" s="187"/>
      <c r="AC314" s="187"/>
      <c r="AD314" s="187"/>
    </row>
    <row r="315">
      <c r="A315" s="114"/>
      <c r="B315" s="114"/>
      <c r="C315" s="114"/>
      <c r="D315" s="113"/>
      <c r="E315" s="114"/>
      <c r="F315" s="114"/>
      <c r="G315" s="114"/>
      <c r="H315" s="114"/>
      <c r="I315" s="114"/>
      <c r="J315" s="114"/>
      <c r="K315" s="114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  <c r="AA315" s="187"/>
      <c r="AB315" s="187"/>
      <c r="AC315" s="187"/>
      <c r="AD315" s="187"/>
    </row>
    <row r="316">
      <c r="A316" s="114"/>
      <c r="B316" s="114"/>
      <c r="C316" s="114"/>
      <c r="D316" s="113"/>
      <c r="E316" s="114"/>
      <c r="F316" s="114"/>
      <c r="G316" s="114"/>
      <c r="H316" s="114"/>
      <c r="I316" s="114"/>
      <c r="J316" s="114"/>
      <c r="K316" s="114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  <c r="AA316" s="187"/>
      <c r="AB316" s="187"/>
      <c r="AC316" s="187"/>
      <c r="AD316" s="187"/>
    </row>
    <row r="317">
      <c r="A317" s="114"/>
      <c r="B317" s="114"/>
      <c r="C317" s="114"/>
      <c r="D317" s="113"/>
      <c r="E317" s="114"/>
      <c r="F317" s="114"/>
      <c r="G317" s="114"/>
      <c r="H317" s="114"/>
      <c r="I317" s="114"/>
      <c r="J317" s="114"/>
      <c r="K317" s="114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  <c r="AA317" s="187"/>
      <c r="AB317" s="187"/>
      <c r="AC317" s="187"/>
      <c r="AD317" s="187"/>
    </row>
    <row r="318">
      <c r="A318" s="114"/>
      <c r="B318" s="114"/>
      <c r="C318" s="114"/>
      <c r="D318" s="113"/>
      <c r="E318" s="114"/>
      <c r="F318" s="114"/>
      <c r="G318" s="114"/>
      <c r="H318" s="114"/>
      <c r="I318" s="114"/>
      <c r="J318" s="114"/>
      <c r="K318" s="114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  <c r="AA318" s="187"/>
      <c r="AB318" s="187"/>
      <c r="AC318" s="187"/>
      <c r="AD318" s="187"/>
    </row>
    <row r="319">
      <c r="A319" s="114"/>
      <c r="B319" s="114"/>
      <c r="C319" s="114"/>
      <c r="D319" s="113"/>
      <c r="E319" s="114"/>
      <c r="F319" s="114"/>
      <c r="G319" s="114"/>
      <c r="H319" s="114"/>
      <c r="I319" s="114"/>
      <c r="J319" s="114"/>
      <c r="K319" s="114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  <c r="AA319" s="187"/>
      <c r="AB319" s="187"/>
      <c r="AC319" s="187"/>
      <c r="AD319" s="187"/>
    </row>
    <row r="320">
      <c r="A320" s="114"/>
      <c r="B320" s="114"/>
      <c r="C320" s="114"/>
      <c r="D320" s="113"/>
      <c r="E320" s="114"/>
      <c r="F320" s="114"/>
      <c r="G320" s="114"/>
      <c r="H320" s="114"/>
      <c r="I320" s="114"/>
      <c r="J320" s="114"/>
      <c r="K320" s="114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  <c r="AA320" s="187"/>
      <c r="AB320" s="187"/>
      <c r="AC320" s="187"/>
      <c r="AD320" s="187"/>
    </row>
    <row r="321">
      <c r="A321" s="114"/>
      <c r="B321" s="114"/>
      <c r="C321" s="114"/>
      <c r="D321" s="113"/>
      <c r="E321" s="114"/>
      <c r="F321" s="114"/>
      <c r="G321" s="114"/>
      <c r="H321" s="114"/>
      <c r="I321" s="114"/>
      <c r="J321" s="114"/>
      <c r="K321" s="114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  <c r="AA321" s="187"/>
      <c r="AB321" s="187"/>
      <c r="AC321" s="187"/>
      <c r="AD321" s="187"/>
    </row>
    <row r="322">
      <c r="A322" s="114"/>
      <c r="B322" s="114"/>
      <c r="C322" s="114"/>
      <c r="D322" s="113"/>
      <c r="E322" s="114"/>
      <c r="F322" s="114"/>
      <c r="G322" s="114"/>
      <c r="H322" s="114"/>
      <c r="I322" s="114"/>
      <c r="J322" s="114"/>
      <c r="K322" s="114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  <c r="AA322" s="187"/>
      <c r="AB322" s="187"/>
      <c r="AC322" s="187"/>
      <c r="AD322" s="187"/>
    </row>
    <row r="323">
      <c r="A323" s="114"/>
      <c r="B323" s="114"/>
      <c r="C323" s="114"/>
      <c r="D323" s="113"/>
      <c r="E323" s="114"/>
      <c r="F323" s="114"/>
      <c r="G323" s="114"/>
      <c r="H323" s="114"/>
      <c r="I323" s="114"/>
      <c r="J323" s="114"/>
      <c r="K323" s="114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  <c r="AA323" s="187"/>
      <c r="AB323" s="187"/>
      <c r="AC323" s="187"/>
      <c r="AD323" s="187"/>
    </row>
    <row r="324">
      <c r="A324" s="114"/>
      <c r="B324" s="114"/>
      <c r="C324" s="114"/>
      <c r="D324" s="113"/>
      <c r="E324" s="114"/>
      <c r="F324" s="114"/>
      <c r="G324" s="114"/>
      <c r="H324" s="114"/>
      <c r="I324" s="114"/>
      <c r="J324" s="114"/>
      <c r="K324" s="114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  <c r="AA324" s="187"/>
      <c r="AB324" s="187"/>
      <c r="AC324" s="187"/>
      <c r="AD324" s="187"/>
    </row>
    <row r="325">
      <c r="A325" s="114"/>
      <c r="B325" s="114"/>
      <c r="C325" s="114"/>
      <c r="D325" s="113"/>
      <c r="E325" s="114"/>
      <c r="F325" s="114"/>
      <c r="G325" s="114"/>
      <c r="H325" s="114"/>
      <c r="I325" s="114"/>
      <c r="J325" s="114"/>
      <c r="K325" s="114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  <c r="AA325" s="187"/>
      <c r="AB325" s="187"/>
      <c r="AC325" s="187"/>
      <c r="AD325" s="187"/>
    </row>
    <row r="326">
      <c r="A326" s="114"/>
      <c r="B326" s="114"/>
      <c r="C326" s="114"/>
      <c r="D326" s="113"/>
      <c r="E326" s="114"/>
      <c r="F326" s="114"/>
      <c r="G326" s="114"/>
      <c r="H326" s="114"/>
      <c r="I326" s="114"/>
      <c r="J326" s="114"/>
      <c r="K326" s="114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  <c r="AA326" s="187"/>
      <c r="AB326" s="187"/>
      <c r="AC326" s="187"/>
      <c r="AD326" s="187"/>
    </row>
    <row r="327">
      <c r="A327" s="114"/>
      <c r="B327" s="114"/>
      <c r="C327" s="114"/>
      <c r="D327" s="113"/>
      <c r="E327" s="114"/>
      <c r="F327" s="114"/>
      <c r="G327" s="114"/>
      <c r="H327" s="114"/>
      <c r="I327" s="114"/>
      <c r="J327" s="114"/>
      <c r="K327" s="114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  <c r="AA327" s="187"/>
      <c r="AB327" s="187"/>
      <c r="AC327" s="187"/>
      <c r="AD327" s="187"/>
    </row>
    <row r="328">
      <c r="A328" s="114"/>
      <c r="B328" s="114"/>
      <c r="C328" s="114"/>
      <c r="D328" s="113"/>
      <c r="E328" s="114"/>
      <c r="F328" s="114"/>
      <c r="G328" s="114"/>
      <c r="H328" s="114"/>
      <c r="I328" s="114"/>
      <c r="J328" s="114"/>
      <c r="K328" s="114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  <c r="AA328" s="187"/>
      <c r="AB328" s="187"/>
      <c r="AC328" s="187"/>
      <c r="AD328" s="187"/>
    </row>
    <row r="329">
      <c r="A329" s="114"/>
      <c r="B329" s="114"/>
      <c r="C329" s="114"/>
      <c r="D329" s="113"/>
      <c r="E329" s="114"/>
      <c r="F329" s="114"/>
      <c r="G329" s="114"/>
      <c r="H329" s="114"/>
      <c r="I329" s="114"/>
      <c r="J329" s="114"/>
      <c r="K329" s="114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  <c r="AA329" s="187"/>
      <c r="AB329" s="187"/>
      <c r="AC329" s="187"/>
      <c r="AD329" s="187"/>
    </row>
    <row r="330">
      <c r="A330" s="114"/>
      <c r="B330" s="114"/>
      <c r="C330" s="114"/>
      <c r="D330" s="113"/>
      <c r="E330" s="114"/>
      <c r="F330" s="114"/>
      <c r="G330" s="114"/>
      <c r="H330" s="114"/>
      <c r="I330" s="114"/>
      <c r="J330" s="114"/>
      <c r="K330" s="114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  <c r="AA330" s="187"/>
      <c r="AB330" s="187"/>
      <c r="AC330" s="187"/>
      <c r="AD330" s="187"/>
    </row>
    <row r="331">
      <c r="A331" s="114"/>
      <c r="B331" s="114"/>
      <c r="C331" s="114"/>
      <c r="D331" s="113"/>
      <c r="E331" s="114"/>
      <c r="F331" s="114"/>
      <c r="G331" s="114"/>
      <c r="H331" s="114"/>
      <c r="I331" s="114"/>
      <c r="J331" s="114"/>
      <c r="K331" s="114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  <c r="AA331" s="187"/>
      <c r="AB331" s="187"/>
      <c r="AC331" s="187"/>
      <c r="AD331" s="187"/>
    </row>
    <row r="332">
      <c r="A332" s="114"/>
      <c r="B332" s="114"/>
      <c r="C332" s="114"/>
      <c r="D332" s="113"/>
      <c r="E332" s="114"/>
      <c r="F332" s="114"/>
      <c r="G332" s="114"/>
      <c r="H332" s="114"/>
      <c r="I332" s="114"/>
      <c r="J332" s="114"/>
      <c r="K332" s="114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  <c r="AA332" s="187"/>
      <c r="AB332" s="187"/>
      <c r="AC332" s="187"/>
      <c r="AD332" s="187"/>
    </row>
    <row r="333">
      <c r="A333" s="114"/>
      <c r="B333" s="114"/>
      <c r="C333" s="114"/>
      <c r="D333" s="113"/>
      <c r="E333" s="114"/>
      <c r="F333" s="114"/>
      <c r="G333" s="114"/>
      <c r="H333" s="114"/>
      <c r="I333" s="114"/>
      <c r="J333" s="114"/>
      <c r="K333" s="114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  <c r="AA333" s="187"/>
      <c r="AB333" s="187"/>
      <c r="AC333" s="187"/>
      <c r="AD333" s="187"/>
    </row>
    <row r="334">
      <c r="A334" s="114"/>
      <c r="B334" s="114"/>
      <c r="C334" s="114"/>
      <c r="D334" s="113"/>
      <c r="E334" s="114"/>
      <c r="F334" s="114"/>
      <c r="G334" s="114"/>
      <c r="H334" s="114"/>
      <c r="I334" s="114"/>
      <c r="J334" s="114"/>
      <c r="K334" s="114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  <c r="AA334" s="187"/>
      <c r="AB334" s="187"/>
      <c r="AC334" s="187"/>
      <c r="AD334" s="187"/>
    </row>
    <row r="335">
      <c r="A335" s="114"/>
      <c r="B335" s="114"/>
      <c r="C335" s="114"/>
      <c r="D335" s="113"/>
      <c r="E335" s="114"/>
      <c r="F335" s="114"/>
      <c r="G335" s="114"/>
      <c r="H335" s="114"/>
      <c r="I335" s="114"/>
      <c r="J335" s="114"/>
      <c r="K335" s="114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  <c r="AA335" s="187"/>
      <c r="AB335" s="187"/>
      <c r="AC335" s="187"/>
      <c r="AD335" s="187"/>
    </row>
    <row r="336">
      <c r="A336" s="114"/>
      <c r="B336" s="114"/>
      <c r="C336" s="114"/>
      <c r="D336" s="113"/>
      <c r="E336" s="114"/>
      <c r="F336" s="114"/>
      <c r="G336" s="114"/>
      <c r="H336" s="114"/>
      <c r="I336" s="114"/>
      <c r="J336" s="114"/>
      <c r="K336" s="114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  <c r="AA336" s="187"/>
      <c r="AB336" s="187"/>
      <c r="AC336" s="187"/>
      <c r="AD336" s="187"/>
    </row>
    <row r="337">
      <c r="A337" s="114"/>
      <c r="B337" s="114"/>
      <c r="C337" s="114"/>
      <c r="D337" s="113"/>
      <c r="E337" s="114"/>
      <c r="F337" s="114"/>
      <c r="G337" s="114"/>
      <c r="H337" s="114"/>
      <c r="I337" s="114"/>
      <c r="J337" s="114"/>
      <c r="K337" s="114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  <c r="AA337" s="187"/>
      <c r="AB337" s="187"/>
      <c r="AC337" s="187"/>
      <c r="AD337" s="187"/>
    </row>
    <row r="338">
      <c r="A338" s="114"/>
      <c r="B338" s="114"/>
      <c r="C338" s="114"/>
      <c r="D338" s="113"/>
      <c r="E338" s="114"/>
      <c r="F338" s="114"/>
      <c r="G338" s="114"/>
      <c r="H338" s="114"/>
      <c r="I338" s="114"/>
      <c r="J338" s="114"/>
      <c r="K338" s="114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  <c r="AA338" s="187"/>
      <c r="AB338" s="187"/>
      <c r="AC338" s="187"/>
      <c r="AD338" s="187"/>
    </row>
    <row r="339">
      <c r="A339" s="114"/>
      <c r="B339" s="114"/>
      <c r="C339" s="114"/>
      <c r="D339" s="113"/>
      <c r="E339" s="114"/>
      <c r="F339" s="114"/>
      <c r="G339" s="114"/>
      <c r="H339" s="114"/>
      <c r="I339" s="114"/>
      <c r="J339" s="114"/>
      <c r="K339" s="114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  <c r="AA339" s="187"/>
      <c r="AB339" s="187"/>
      <c r="AC339" s="187"/>
      <c r="AD339" s="187"/>
    </row>
    <row r="340">
      <c r="A340" s="114"/>
      <c r="B340" s="114"/>
      <c r="C340" s="114"/>
      <c r="D340" s="113"/>
      <c r="E340" s="114"/>
      <c r="F340" s="114"/>
      <c r="G340" s="114"/>
      <c r="H340" s="114"/>
      <c r="I340" s="114"/>
      <c r="J340" s="114"/>
      <c r="K340" s="114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  <c r="AA340" s="187"/>
      <c r="AB340" s="187"/>
      <c r="AC340" s="187"/>
      <c r="AD340" s="187"/>
    </row>
    <row r="341">
      <c r="A341" s="114"/>
      <c r="B341" s="114"/>
      <c r="C341" s="114"/>
      <c r="D341" s="113"/>
      <c r="E341" s="114"/>
      <c r="F341" s="114"/>
      <c r="G341" s="114"/>
      <c r="H341" s="114"/>
      <c r="I341" s="114"/>
      <c r="J341" s="114"/>
      <c r="K341" s="114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  <c r="AA341" s="187"/>
      <c r="AB341" s="187"/>
      <c r="AC341" s="187"/>
      <c r="AD341" s="187"/>
    </row>
    <row r="342">
      <c r="A342" s="114"/>
      <c r="B342" s="114"/>
      <c r="C342" s="114"/>
      <c r="D342" s="113"/>
      <c r="E342" s="114"/>
      <c r="F342" s="114"/>
      <c r="G342" s="114"/>
      <c r="H342" s="114"/>
      <c r="I342" s="114"/>
      <c r="J342" s="114"/>
      <c r="K342" s="114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  <c r="AA342" s="187"/>
      <c r="AB342" s="187"/>
      <c r="AC342" s="187"/>
      <c r="AD342" s="187"/>
    </row>
    <row r="343">
      <c r="A343" s="114"/>
      <c r="B343" s="114"/>
      <c r="C343" s="114"/>
      <c r="D343" s="113"/>
      <c r="E343" s="114"/>
      <c r="F343" s="114"/>
      <c r="G343" s="114"/>
      <c r="H343" s="114"/>
      <c r="I343" s="114"/>
      <c r="J343" s="114"/>
      <c r="K343" s="114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  <c r="AA343" s="187"/>
      <c r="AB343" s="187"/>
      <c r="AC343" s="187"/>
      <c r="AD343" s="187"/>
    </row>
    <row r="344">
      <c r="A344" s="114"/>
      <c r="B344" s="114"/>
      <c r="C344" s="114"/>
      <c r="D344" s="113"/>
      <c r="E344" s="114"/>
      <c r="F344" s="114"/>
      <c r="G344" s="114"/>
      <c r="H344" s="114"/>
      <c r="I344" s="114"/>
      <c r="J344" s="114"/>
      <c r="K344" s="114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  <c r="AA344" s="187"/>
      <c r="AB344" s="187"/>
      <c r="AC344" s="187"/>
      <c r="AD344" s="187"/>
    </row>
    <row r="345">
      <c r="A345" s="114"/>
      <c r="B345" s="114"/>
      <c r="C345" s="114"/>
      <c r="D345" s="113"/>
      <c r="E345" s="114"/>
      <c r="F345" s="114"/>
      <c r="G345" s="114"/>
      <c r="H345" s="114"/>
      <c r="I345" s="114"/>
      <c r="J345" s="114"/>
      <c r="K345" s="114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  <c r="AA345" s="187"/>
      <c r="AB345" s="187"/>
      <c r="AC345" s="187"/>
      <c r="AD345" s="187"/>
    </row>
    <row r="346">
      <c r="A346" s="114"/>
      <c r="B346" s="114"/>
      <c r="C346" s="114"/>
      <c r="D346" s="113"/>
      <c r="E346" s="114"/>
      <c r="F346" s="114"/>
      <c r="G346" s="114"/>
      <c r="H346" s="114"/>
      <c r="I346" s="114"/>
      <c r="J346" s="114"/>
      <c r="K346" s="114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  <c r="AA346" s="187"/>
      <c r="AB346" s="187"/>
      <c r="AC346" s="187"/>
      <c r="AD346" s="187"/>
    </row>
    <row r="347">
      <c r="A347" s="114"/>
      <c r="B347" s="114"/>
      <c r="C347" s="114"/>
      <c r="D347" s="113"/>
      <c r="E347" s="114"/>
      <c r="F347" s="114"/>
      <c r="G347" s="114"/>
      <c r="H347" s="114"/>
      <c r="I347" s="114"/>
      <c r="J347" s="114"/>
      <c r="K347" s="114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  <c r="AA347" s="187"/>
      <c r="AB347" s="187"/>
      <c r="AC347" s="187"/>
      <c r="AD347" s="187"/>
    </row>
    <row r="348">
      <c r="A348" s="114"/>
      <c r="B348" s="114"/>
      <c r="C348" s="114"/>
      <c r="D348" s="113"/>
      <c r="E348" s="114"/>
      <c r="F348" s="114"/>
      <c r="G348" s="114"/>
      <c r="H348" s="114"/>
      <c r="I348" s="114"/>
      <c r="J348" s="114"/>
      <c r="K348" s="114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  <c r="AA348" s="187"/>
      <c r="AB348" s="187"/>
      <c r="AC348" s="187"/>
      <c r="AD348" s="187"/>
    </row>
    <row r="349">
      <c r="A349" s="114"/>
      <c r="B349" s="114"/>
      <c r="C349" s="114"/>
      <c r="D349" s="113"/>
      <c r="E349" s="114"/>
      <c r="F349" s="114"/>
      <c r="G349" s="114"/>
      <c r="H349" s="114"/>
      <c r="I349" s="114"/>
      <c r="J349" s="114"/>
      <c r="K349" s="114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  <c r="AA349" s="187"/>
      <c r="AB349" s="187"/>
      <c r="AC349" s="187"/>
      <c r="AD349" s="187"/>
    </row>
    <row r="350">
      <c r="A350" s="114"/>
      <c r="B350" s="114"/>
      <c r="C350" s="114"/>
      <c r="D350" s="113"/>
      <c r="E350" s="114"/>
      <c r="F350" s="114"/>
      <c r="G350" s="114"/>
      <c r="H350" s="114"/>
      <c r="I350" s="114"/>
      <c r="J350" s="114"/>
      <c r="K350" s="114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  <c r="AA350" s="187"/>
      <c r="AB350" s="187"/>
      <c r="AC350" s="187"/>
      <c r="AD350" s="187"/>
    </row>
    <row r="351">
      <c r="A351" s="114"/>
      <c r="B351" s="114"/>
      <c r="C351" s="114"/>
      <c r="D351" s="113"/>
      <c r="E351" s="114"/>
      <c r="F351" s="114"/>
      <c r="G351" s="114"/>
      <c r="H351" s="114"/>
      <c r="I351" s="114"/>
      <c r="J351" s="114"/>
      <c r="K351" s="114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  <c r="AA351" s="187"/>
      <c r="AB351" s="187"/>
      <c r="AC351" s="187"/>
      <c r="AD351" s="187"/>
    </row>
    <row r="352">
      <c r="A352" s="114"/>
      <c r="B352" s="114"/>
      <c r="C352" s="114"/>
      <c r="D352" s="113"/>
      <c r="E352" s="114"/>
      <c r="F352" s="114"/>
      <c r="G352" s="114"/>
      <c r="H352" s="114"/>
      <c r="I352" s="114"/>
      <c r="J352" s="114"/>
      <c r="K352" s="114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  <c r="AA352" s="187"/>
      <c r="AB352" s="187"/>
      <c r="AC352" s="187"/>
      <c r="AD352" s="187"/>
    </row>
    <row r="353">
      <c r="A353" s="114"/>
      <c r="B353" s="114"/>
      <c r="C353" s="114"/>
      <c r="D353" s="113"/>
      <c r="E353" s="114"/>
      <c r="F353" s="114"/>
      <c r="G353" s="114"/>
      <c r="H353" s="114"/>
      <c r="I353" s="114"/>
      <c r="J353" s="114"/>
      <c r="K353" s="114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  <c r="AA353" s="187"/>
      <c r="AB353" s="187"/>
      <c r="AC353" s="187"/>
      <c r="AD353" s="187"/>
    </row>
    <row r="354">
      <c r="A354" s="114"/>
      <c r="B354" s="114"/>
      <c r="C354" s="114"/>
      <c r="D354" s="113"/>
      <c r="E354" s="114"/>
      <c r="F354" s="114"/>
      <c r="G354" s="114"/>
      <c r="H354" s="114"/>
      <c r="I354" s="114"/>
      <c r="J354" s="114"/>
      <c r="K354" s="114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  <c r="AA354" s="187"/>
      <c r="AB354" s="187"/>
      <c r="AC354" s="187"/>
      <c r="AD354" s="187"/>
    </row>
    <row r="355">
      <c r="A355" s="114"/>
      <c r="B355" s="114"/>
      <c r="C355" s="114"/>
      <c r="D355" s="113"/>
      <c r="E355" s="114"/>
      <c r="F355" s="114"/>
      <c r="G355" s="114"/>
      <c r="H355" s="114"/>
      <c r="I355" s="114"/>
      <c r="J355" s="114"/>
      <c r="K355" s="114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  <c r="AA355" s="187"/>
      <c r="AB355" s="187"/>
      <c r="AC355" s="187"/>
      <c r="AD355" s="187"/>
    </row>
    <row r="356">
      <c r="A356" s="114"/>
      <c r="B356" s="114"/>
      <c r="C356" s="114"/>
      <c r="D356" s="113"/>
      <c r="E356" s="114"/>
      <c r="F356" s="114"/>
      <c r="G356" s="114"/>
      <c r="H356" s="114"/>
      <c r="I356" s="114"/>
      <c r="J356" s="114"/>
      <c r="K356" s="114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  <c r="AA356" s="187"/>
      <c r="AB356" s="187"/>
      <c r="AC356" s="187"/>
      <c r="AD356" s="187"/>
    </row>
    <row r="357">
      <c r="A357" s="114"/>
      <c r="B357" s="114"/>
      <c r="C357" s="114"/>
      <c r="D357" s="113"/>
      <c r="E357" s="114"/>
      <c r="F357" s="114"/>
      <c r="G357" s="114"/>
      <c r="H357" s="114"/>
      <c r="I357" s="114"/>
      <c r="J357" s="114"/>
      <c r="K357" s="114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  <c r="AA357" s="187"/>
      <c r="AB357" s="187"/>
      <c r="AC357" s="187"/>
      <c r="AD357" s="187"/>
    </row>
    <row r="358">
      <c r="A358" s="114"/>
      <c r="B358" s="114"/>
      <c r="C358" s="114"/>
      <c r="D358" s="113"/>
      <c r="E358" s="114"/>
      <c r="F358" s="114"/>
      <c r="G358" s="114"/>
      <c r="H358" s="114"/>
      <c r="I358" s="114"/>
      <c r="J358" s="114"/>
      <c r="K358" s="114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  <c r="AA358" s="187"/>
      <c r="AB358" s="187"/>
      <c r="AC358" s="187"/>
      <c r="AD358" s="187"/>
    </row>
    <row r="359">
      <c r="A359" s="114"/>
      <c r="B359" s="114"/>
      <c r="C359" s="114"/>
      <c r="D359" s="113"/>
      <c r="E359" s="114"/>
      <c r="F359" s="114"/>
      <c r="G359" s="114"/>
      <c r="H359" s="114"/>
      <c r="I359" s="114"/>
      <c r="J359" s="114"/>
      <c r="K359" s="114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  <c r="AA359" s="187"/>
      <c r="AB359" s="187"/>
      <c r="AC359" s="187"/>
      <c r="AD359" s="187"/>
    </row>
    <row r="360">
      <c r="A360" s="114"/>
      <c r="B360" s="114"/>
      <c r="C360" s="114"/>
      <c r="D360" s="113"/>
      <c r="E360" s="114"/>
      <c r="F360" s="114"/>
      <c r="G360" s="114"/>
      <c r="H360" s="114"/>
      <c r="I360" s="114"/>
      <c r="J360" s="114"/>
      <c r="K360" s="114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  <c r="AA360" s="187"/>
      <c r="AB360" s="187"/>
      <c r="AC360" s="187"/>
      <c r="AD360" s="187"/>
    </row>
    <row r="361">
      <c r="A361" s="114"/>
      <c r="B361" s="114"/>
      <c r="C361" s="114"/>
      <c r="D361" s="113"/>
      <c r="E361" s="114"/>
      <c r="F361" s="114"/>
      <c r="G361" s="114"/>
      <c r="H361" s="114"/>
      <c r="I361" s="114"/>
      <c r="J361" s="114"/>
      <c r="K361" s="114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  <c r="AA361" s="187"/>
      <c r="AB361" s="187"/>
      <c r="AC361" s="187"/>
      <c r="AD361" s="187"/>
    </row>
    <row r="362">
      <c r="A362" s="114"/>
      <c r="B362" s="114"/>
      <c r="C362" s="114"/>
      <c r="D362" s="113"/>
      <c r="E362" s="114"/>
      <c r="F362" s="114"/>
      <c r="G362" s="114"/>
      <c r="H362" s="114"/>
      <c r="I362" s="114"/>
      <c r="J362" s="114"/>
      <c r="K362" s="114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  <c r="AA362" s="187"/>
      <c r="AB362" s="187"/>
      <c r="AC362" s="187"/>
      <c r="AD362" s="187"/>
    </row>
    <row r="363">
      <c r="A363" s="114"/>
      <c r="B363" s="114"/>
      <c r="C363" s="114"/>
      <c r="D363" s="113"/>
      <c r="E363" s="114"/>
      <c r="F363" s="114"/>
      <c r="G363" s="114"/>
      <c r="H363" s="114"/>
      <c r="I363" s="114"/>
      <c r="J363" s="114"/>
      <c r="K363" s="114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  <c r="AA363" s="187"/>
      <c r="AB363" s="187"/>
      <c r="AC363" s="187"/>
      <c r="AD363" s="187"/>
    </row>
    <row r="364">
      <c r="A364" s="114"/>
      <c r="B364" s="114"/>
      <c r="C364" s="114"/>
      <c r="D364" s="113"/>
      <c r="E364" s="114"/>
      <c r="F364" s="114"/>
      <c r="G364" s="114"/>
      <c r="H364" s="114"/>
      <c r="I364" s="114"/>
      <c r="J364" s="114"/>
      <c r="K364" s="114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  <c r="AA364" s="187"/>
      <c r="AB364" s="187"/>
      <c r="AC364" s="187"/>
      <c r="AD364" s="187"/>
    </row>
    <row r="365">
      <c r="A365" s="114"/>
      <c r="B365" s="114"/>
      <c r="C365" s="114"/>
      <c r="D365" s="113"/>
      <c r="E365" s="114"/>
      <c r="F365" s="114"/>
      <c r="G365" s="114"/>
      <c r="H365" s="114"/>
      <c r="I365" s="114"/>
      <c r="J365" s="114"/>
      <c r="K365" s="114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  <c r="AA365" s="187"/>
      <c r="AB365" s="187"/>
      <c r="AC365" s="187"/>
      <c r="AD365" s="187"/>
    </row>
    <row r="366">
      <c r="A366" s="114"/>
      <c r="B366" s="114"/>
      <c r="C366" s="114"/>
      <c r="D366" s="113"/>
      <c r="E366" s="114"/>
      <c r="F366" s="114"/>
      <c r="G366" s="114"/>
      <c r="H366" s="114"/>
      <c r="I366" s="114"/>
      <c r="J366" s="114"/>
      <c r="K366" s="114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  <c r="AA366" s="187"/>
      <c r="AB366" s="187"/>
      <c r="AC366" s="187"/>
      <c r="AD366" s="187"/>
    </row>
    <row r="367">
      <c r="A367" s="114"/>
      <c r="B367" s="114"/>
      <c r="C367" s="114"/>
      <c r="D367" s="113"/>
      <c r="E367" s="114"/>
      <c r="F367" s="114"/>
      <c r="G367" s="114"/>
      <c r="H367" s="114"/>
      <c r="I367" s="114"/>
      <c r="J367" s="114"/>
      <c r="K367" s="114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  <c r="AA367" s="187"/>
      <c r="AB367" s="187"/>
      <c r="AC367" s="187"/>
      <c r="AD367" s="187"/>
    </row>
    <row r="368">
      <c r="A368" s="114"/>
      <c r="B368" s="114"/>
      <c r="C368" s="114"/>
      <c r="D368" s="113"/>
      <c r="E368" s="114"/>
      <c r="F368" s="114"/>
      <c r="G368" s="114"/>
      <c r="H368" s="114"/>
      <c r="I368" s="114"/>
      <c r="J368" s="114"/>
      <c r="K368" s="114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  <c r="AA368" s="187"/>
      <c r="AB368" s="187"/>
      <c r="AC368" s="187"/>
      <c r="AD368" s="187"/>
    </row>
    <row r="369">
      <c r="A369" s="114"/>
      <c r="B369" s="114"/>
      <c r="C369" s="114"/>
      <c r="D369" s="113"/>
      <c r="E369" s="114"/>
      <c r="F369" s="114"/>
      <c r="G369" s="114"/>
      <c r="H369" s="114"/>
      <c r="I369" s="114"/>
      <c r="J369" s="114"/>
      <c r="K369" s="114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  <c r="AA369" s="187"/>
      <c r="AB369" s="187"/>
      <c r="AC369" s="187"/>
      <c r="AD369" s="187"/>
    </row>
    <row r="370">
      <c r="A370" s="114"/>
      <c r="B370" s="114"/>
      <c r="C370" s="114"/>
      <c r="D370" s="113"/>
      <c r="E370" s="114"/>
      <c r="F370" s="114"/>
      <c r="G370" s="114"/>
      <c r="H370" s="114"/>
      <c r="I370" s="114"/>
      <c r="J370" s="114"/>
      <c r="K370" s="114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  <c r="AA370" s="187"/>
      <c r="AB370" s="187"/>
      <c r="AC370" s="187"/>
      <c r="AD370" s="187"/>
    </row>
    <row r="371">
      <c r="A371" s="114"/>
      <c r="B371" s="114"/>
      <c r="C371" s="114"/>
      <c r="D371" s="113"/>
      <c r="E371" s="114"/>
      <c r="F371" s="114"/>
      <c r="G371" s="114"/>
      <c r="H371" s="114"/>
      <c r="I371" s="114"/>
      <c r="J371" s="114"/>
      <c r="K371" s="114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  <c r="AA371" s="187"/>
      <c r="AB371" s="187"/>
      <c r="AC371" s="187"/>
      <c r="AD371" s="187"/>
    </row>
    <row r="372">
      <c r="A372" s="114"/>
      <c r="B372" s="114"/>
      <c r="C372" s="114"/>
      <c r="D372" s="113"/>
      <c r="E372" s="114"/>
      <c r="F372" s="114"/>
      <c r="G372" s="114"/>
      <c r="H372" s="114"/>
      <c r="I372" s="114"/>
      <c r="J372" s="114"/>
      <c r="K372" s="114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  <c r="AA372" s="187"/>
      <c r="AB372" s="187"/>
      <c r="AC372" s="187"/>
      <c r="AD372" s="187"/>
    </row>
    <row r="373">
      <c r="A373" s="114"/>
      <c r="B373" s="114"/>
      <c r="C373" s="114"/>
      <c r="D373" s="113"/>
      <c r="E373" s="114"/>
      <c r="F373" s="114"/>
      <c r="G373" s="114"/>
      <c r="H373" s="114"/>
      <c r="I373" s="114"/>
      <c r="J373" s="114"/>
      <c r="K373" s="114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  <c r="AA373" s="187"/>
      <c r="AB373" s="187"/>
      <c r="AC373" s="187"/>
      <c r="AD373" s="187"/>
    </row>
    <row r="374">
      <c r="A374" s="114"/>
      <c r="B374" s="114"/>
      <c r="C374" s="114"/>
      <c r="D374" s="113"/>
      <c r="E374" s="114"/>
      <c r="F374" s="114"/>
      <c r="G374" s="114"/>
      <c r="H374" s="114"/>
      <c r="I374" s="114"/>
      <c r="J374" s="114"/>
      <c r="K374" s="114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  <c r="AA374" s="187"/>
      <c r="AB374" s="187"/>
      <c r="AC374" s="187"/>
      <c r="AD374" s="187"/>
    </row>
    <row r="375">
      <c r="A375" s="114"/>
      <c r="B375" s="114"/>
      <c r="C375" s="114"/>
      <c r="D375" s="113"/>
      <c r="E375" s="114"/>
      <c r="F375" s="114"/>
      <c r="G375" s="114"/>
      <c r="H375" s="114"/>
      <c r="I375" s="114"/>
      <c r="J375" s="114"/>
      <c r="K375" s="114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  <c r="AA375" s="187"/>
      <c r="AB375" s="187"/>
      <c r="AC375" s="187"/>
      <c r="AD375" s="187"/>
    </row>
    <row r="376">
      <c r="A376" s="114"/>
      <c r="B376" s="114"/>
      <c r="C376" s="114"/>
      <c r="D376" s="113"/>
      <c r="E376" s="114"/>
      <c r="F376" s="114"/>
      <c r="G376" s="114"/>
      <c r="H376" s="114"/>
      <c r="I376" s="114"/>
      <c r="J376" s="114"/>
      <c r="K376" s="114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  <c r="AA376" s="187"/>
      <c r="AB376" s="187"/>
      <c r="AC376" s="187"/>
      <c r="AD376" s="187"/>
    </row>
    <row r="377">
      <c r="A377" s="114"/>
      <c r="B377" s="114"/>
      <c r="C377" s="114"/>
      <c r="D377" s="113"/>
      <c r="E377" s="114"/>
      <c r="F377" s="114"/>
      <c r="G377" s="114"/>
      <c r="H377" s="114"/>
      <c r="I377" s="114"/>
      <c r="J377" s="114"/>
      <c r="K377" s="114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  <c r="AA377" s="187"/>
      <c r="AB377" s="187"/>
      <c r="AC377" s="187"/>
      <c r="AD377" s="187"/>
    </row>
    <row r="378">
      <c r="A378" s="114"/>
      <c r="B378" s="114"/>
      <c r="C378" s="114"/>
      <c r="D378" s="113"/>
      <c r="E378" s="114"/>
      <c r="F378" s="114"/>
      <c r="G378" s="114"/>
      <c r="H378" s="114"/>
      <c r="I378" s="114"/>
      <c r="J378" s="114"/>
      <c r="K378" s="114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  <c r="AA378" s="187"/>
      <c r="AB378" s="187"/>
      <c r="AC378" s="187"/>
      <c r="AD378" s="187"/>
    </row>
    <row r="379">
      <c r="A379" s="114"/>
      <c r="B379" s="114"/>
      <c r="C379" s="114"/>
      <c r="D379" s="113"/>
      <c r="E379" s="114"/>
      <c r="F379" s="114"/>
      <c r="G379" s="114"/>
      <c r="H379" s="114"/>
      <c r="I379" s="114"/>
      <c r="J379" s="114"/>
      <c r="K379" s="114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  <c r="AA379" s="187"/>
      <c r="AB379" s="187"/>
      <c r="AC379" s="187"/>
      <c r="AD379" s="187"/>
    </row>
    <row r="380">
      <c r="A380" s="114"/>
      <c r="B380" s="114"/>
      <c r="C380" s="114"/>
      <c r="D380" s="113"/>
      <c r="E380" s="114"/>
      <c r="F380" s="114"/>
      <c r="G380" s="114"/>
      <c r="H380" s="114"/>
      <c r="I380" s="114"/>
      <c r="J380" s="114"/>
      <c r="K380" s="114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  <c r="AA380" s="187"/>
      <c r="AB380" s="187"/>
      <c r="AC380" s="187"/>
      <c r="AD380" s="187"/>
    </row>
    <row r="381">
      <c r="A381" s="114"/>
      <c r="B381" s="114"/>
      <c r="C381" s="114"/>
      <c r="D381" s="113"/>
      <c r="E381" s="114"/>
      <c r="F381" s="114"/>
      <c r="G381" s="114"/>
      <c r="H381" s="114"/>
      <c r="I381" s="114"/>
      <c r="J381" s="114"/>
      <c r="K381" s="114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  <c r="AA381" s="187"/>
      <c r="AB381" s="187"/>
      <c r="AC381" s="187"/>
      <c r="AD381" s="187"/>
    </row>
    <row r="382">
      <c r="A382" s="114"/>
      <c r="B382" s="114"/>
      <c r="C382" s="114"/>
      <c r="D382" s="113"/>
      <c r="E382" s="114"/>
      <c r="F382" s="114"/>
      <c r="G382" s="114"/>
      <c r="H382" s="114"/>
      <c r="I382" s="114"/>
      <c r="J382" s="114"/>
      <c r="K382" s="114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  <c r="AA382" s="187"/>
      <c r="AB382" s="187"/>
      <c r="AC382" s="187"/>
      <c r="AD382" s="187"/>
    </row>
    <row r="383">
      <c r="A383" s="114"/>
      <c r="B383" s="114"/>
      <c r="C383" s="114"/>
      <c r="D383" s="113"/>
      <c r="E383" s="114"/>
      <c r="F383" s="114"/>
      <c r="G383" s="114"/>
      <c r="H383" s="114"/>
      <c r="I383" s="114"/>
      <c r="J383" s="114"/>
      <c r="K383" s="114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  <c r="AA383" s="187"/>
      <c r="AB383" s="187"/>
      <c r="AC383" s="187"/>
      <c r="AD383" s="187"/>
    </row>
    <row r="384">
      <c r="A384" s="114"/>
      <c r="B384" s="114"/>
      <c r="C384" s="114"/>
      <c r="D384" s="113"/>
      <c r="E384" s="114"/>
      <c r="F384" s="114"/>
      <c r="G384" s="114"/>
      <c r="H384" s="114"/>
      <c r="I384" s="114"/>
      <c r="J384" s="114"/>
      <c r="K384" s="114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  <c r="AA384" s="187"/>
      <c r="AB384" s="187"/>
      <c r="AC384" s="187"/>
      <c r="AD384" s="187"/>
    </row>
    <row r="385">
      <c r="A385" s="114"/>
      <c r="B385" s="114"/>
      <c r="C385" s="114"/>
      <c r="D385" s="113"/>
      <c r="E385" s="114"/>
      <c r="F385" s="114"/>
      <c r="G385" s="114"/>
      <c r="H385" s="114"/>
      <c r="I385" s="114"/>
      <c r="J385" s="114"/>
      <c r="K385" s="114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  <c r="AA385" s="187"/>
      <c r="AB385" s="187"/>
      <c r="AC385" s="187"/>
      <c r="AD385" s="187"/>
    </row>
    <row r="386">
      <c r="A386" s="114"/>
      <c r="B386" s="114"/>
      <c r="C386" s="114"/>
      <c r="D386" s="113"/>
      <c r="E386" s="114"/>
      <c r="F386" s="114"/>
      <c r="G386" s="114"/>
      <c r="H386" s="114"/>
      <c r="I386" s="114"/>
      <c r="J386" s="114"/>
      <c r="K386" s="114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  <c r="AA386" s="187"/>
      <c r="AB386" s="187"/>
      <c r="AC386" s="187"/>
      <c r="AD386" s="187"/>
    </row>
    <row r="387">
      <c r="A387" s="114"/>
      <c r="B387" s="114"/>
      <c r="C387" s="114"/>
      <c r="D387" s="113"/>
      <c r="E387" s="114"/>
      <c r="F387" s="114"/>
      <c r="G387" s="114"/>
      <c r="H387" s="114"/>
      <c r="I387" s="114"/>
      <c r="J387" s="114"/>
      <c r="K387" s="114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  <c r="AA387" s="187"/>
      <c r="AB387" s="187"/>
      <c r="AC387" s="187"/>
      <c r="AD387" s="187"/>
    </row>
    <row r="388">
      <c r="A388" s="114"/>
      <c r="B388" s="114"/>
      <c r="C388" s="114"/>
      <c r="D388" s="113"/>
      <c r="E388" s="114"/>
      <c r="F388" s="114"/>
      <c r="G388" s="114"/>
      <c r="H388" s="114"/>
      <c r="I388" s="114"/>
      <c r="J388" s="114"/>
      <c r="K388" s="114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  <c r="AA388" s="187"/>
      <c r="AB388" s="187"/>
      <c r="AC388" s="187"/>
      <c r="AD388" s="187"/>
    </row>
    <row r="389">
      <c r="A389" s="114"/>
      <c r="B389" s="114"/>
      <c r="C389" s="114"/>
      <c r="D389" s="113"/>
      <c r="E389" s="114"/>
      <c r="F389" s="114"/>
      <c r="G389" s="114"/>
      <c r="H389" s="114"/>
      <c r="I389" s="114"/>
      <c r="J389" s="114"/>
      <c r="K389" s="114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  <c r="AA389" s="187"/>
      <c r="AB389" s="187"/>
      <c r="AC389" s="187"/>
      <c r="AD389" s="187"/>
    </row>
    <row r="390">
      <c r="A390" s="114"/>
      <c r="B390" s="114"/>
      <c r="C390" s="114"/>
      <c r="D390" s="113"/>
      <c r="E390" s="114"/>
      <c r="F390" s="114"/>
      <c r="G390" s="114"/>
      <c r="H390" s="114"/>
      <c r="I390" s="114"/>
      <c r="J390" s="114"/>
      <c r="K390" s="114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  <c r="AA390" s="187"/>
      <c r="AB390" s="187"/>
      <c r="AC390" s="187"/>
      <c r="AD390" s="187"/>
    </row>
    <row r="391">
      <c r="A391" s="114"/>
      <c r="B391" s="114"/>
      <c r="C391" s="114"/>
      <c r="D391" s="113"/>
      <c r="E391" s="114"/>
      <c r="F391" s="114"/>
      <c r="G391" s="114"/>
      <c r="H391" s="114"/>
      <c r="I391" s="114"/>
      <c r="J391" s="114"/>
      <c r="K391" s="114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  <c r="AA391" s="187"/>
      <c r="AB391" s="187"/>
      <c r="AC391" s="187"/>
      <c r="AD391" s="187"/>
    </row>
    <row r="392">
      <c r="A392" s="114"/>
      <c r="B392" s="114"/>
      <c r="C392" s="114"/>
      <c r="D392" s="113"/>
      <c r="E392" s="114"/>
      <c r="F392" s="114"/>
      <c r="G392" s="114"/>
      <c r="H392" s="114"/>
      <c r="I392" s="114"/>
      <c r="J392" s="114"/>
      <c r="K392" s="114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  <c r="AA392" s="187"/>
      <c r="AB392" s="187"/>
      <c r="AC392" s="187"/>
      <c r="AD392" s="187"/>
    </row>
    <row r="393">
      <c r="A393" s="114"/>
      <c r="B393" s="114"/>
      <c r="C393" s="114"/>
      <c r="D393" s="113"/>
      <c r="E393" s="114"/>
      <c r="F393" s="114"/>
      <c r="G393" s="114"/>
      <c r="H393" s="114"/>
      <c r="I393" s="114"/>
      <c r="J393" s="114"/>
      <c r="K393" s="114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  <c r="AA393" s="187"/>
      <c r="AB393" s="187"/>
      <c r="AC393" s="187"/>
      <c r="AD393" s="187"/>
    </row>
    <row r="394">
      <c r="A394" s="114"/>
      <c r="B394" s="114"/>
      <c r="C394" s="114"/>
      <c r="D394" s="113"/>
      <c r="E394" s="114"/>
      <c r="F394" s="114"/>
      <c r="G394" s="114"/>
      <c r="H394" s="114"/>
      <c r="I394" s="114"/>
      <c r="J394" s="114"/>
      <c r="K394" s="114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  <c r="AA394" s="187"/>
      <c r="AB394" s="187"/>
      <c r="AC394" s="187"/>
      <c r="AD394" s="187"/>
    </row>
    <row r="395">
      <c r="A395" s="114"/>
      <c r="B395" s="114"/>
      <c r="C395" s="114"/>
      <c r="D395" s="113"/>
      <c r="E395" s="114"/>
      <c r="F395" s="114"/>
      <c r="G395" s="114"/>
      <c r="H395" s="114"/>
      <c r="I395" s="114"/>
      <c r="J395" s="114"/>
      <c r="K395" s="114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  <c r="AA395" s="187"/>
      <c r="AB395" s="187"/>
      <c r="AC395" s="187"/>
      <c r="AD395" s="187"/>
    </row>
    <row r="396">
      <c r="A396" s="114"/>
      <c r="B396" s="114"/>
      <c r="C396" s="114"/>
      <c r="D396" s="113"/>
      <c r="E396" s="114"/>
      <c r="F396" s="114"/>
      <c r="G396" s="114"/>
      <c r="H396" s="114"/>
      <c r="I396" s="114"/>
      <c r="J396" s="114"/>
      <c r="K396" s="114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  <c r="AA396" s="187"/>
      <c r="AB396" s="187"/>
      <c r="AC396" s="187"/>
      <c r="AD396" s="187"/>
    </row>
    <row r="397">
      <c r="A397" s="114"/>
      <c r="B397" s="114"/>
      <c r="C397" s="114"/>
      <c r="D397" s="113"/>
      <c r="E397" s="114"/>
      <c r="F397" s="114"/>
      <c r="G397" s="114"/>
      <c r="H397" s="114"/>
      <c r="I397" s="114"/>
      <c r="J397" s="114"/>
      <c r="K397" s="114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  <c r="AA397" s="187"/>
      <c r="AB397" s="187"/>
      <c r="AC397" s="187"/>
      <c r="AD397" s="187"/>
    </row>
    <row r="398">
      <c r="A398" s="114"/>
      <c r="B398" s="114"/>
      <c r="C398" s="114"/>
      <c r="D398" s="113"/>
      <c r="E398" s="114"/>
      <c r="F398" s="114"/>
      <c r="G398" s="114"/>
      <c r="H398" s="114"/>
      <c r="I398" s="114"/>
      <c r="J398" s="114"/>
      <c r="K398" s="114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  <c r="AA398" s="187"/>
      <c r="AB398" s="187"/>
      <c r="AC398" s="187"/>
      <c r="AD398" s="187"/>
    </row>
    <row r="399">
      <c r="A399" s="114"/>
      <c r="B399" s="114"/>
      <c r="C399" s="114"/>
      <c r="D399" s="113"/>
      <c r="E399" s="114"/>
      <c r="F399" s="114"/>
      <c r="G399" s="114"/>
      <c r="H399" s="114"/>
      <c r="I399" s="114"/>
      <c r="J399" s="114"/>
      <c r="K399" s="114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  <c r="AA399" s="187"/>
      <c r="AB399" s="187"/>
      <c r="AC399" s="187"/>
      <c r="AD399" s="187"/>
    </row>
    <row r="400">
      <c r="A400" s="114"/>
      <c r="B400" s="114"/>
      <c r="C400" s="114"/>
      <c r="D400" s="113"/>
      <c r="E400" s="114"/>
      <c r="F400" s="114"/>
      <c r="G400" s="114"/>
      <c r="H400" s="114"/>
      <c r="I400" s="114"/>
      <c r="J400" s="114"/>
      <c r="K400" s="114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  <c r="AA400" s="187"/>
      <c r="AB400" s="187"/>
      <c r="AC400" s="187"/>
      <c r="AD400" s="187"/>
    </row>
    <row r="401">
      <c r="A401" s="114"/>
      <c r="B401" s="114"/>
      <c r="C401" s="114"/>
      <c r="D401" s="113"/>
      <c r="E401" s="114"/>
      <c r="F401" s="114"/>
      <c r="G401" s="114"/>
      <c r="H401" s="114"/>
      <c r="I401" s="114"/>
      <c r="J401" s="114"/>
      <c r="K401" s="114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  <c r="AA401" s="187"/>
      <c r="AB401" s="187"/>
      <c r="AC401" s="187"/>
      <c r="AD401" s="187"/>
    </row>
    <row r="402">
      <c r="A402" s="114"/>
      <c r="B402" s="114"/>
      <c r="C402" s="114"/>
      <c r="D402" s="113"/>
      <c r="E402" s="114"/>
      <c r="F402" s="114"/>
      <c r="G402" s="114"/>
      <c r="H402" s="114"/>
      <c r="I402" s="114"/>
      <c r="J402" s="114"/>
      <c r="K402" s="114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  <c r="AA402" s="187"/>
      <c r="AB402" s="187"/>
      <c r="AC402" s="187"/>
      <c r="AD402" s="187"/>
    </row>
    <row r="403">
      <c r="A403" s="114"/>
      <c r="B403" s="114"/>
      <c r="C403" s="114"/>
      <c r="D403" s="113"/>
      <c r="E403" s="114"/>
      <c r="F403" s="114"/>
      <c r="G403" s="114"/>
      <c r="H403" s="114"/>
      <c r="I403" s="114"/>
      <c r="J403" s="114"/>
      <c r="K403" s="114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  <c r="AA403" s="187"/>
      <c r="AB403" s="187"/>
      <c r="AC403" s="187"/>
      <c r="AD403" s="187"/>
    </row>
    <row r="404">
      <c r="A404" s="114"/>
      <c r="B404" s="114"/>
      <c r="C404" s="114"/>
      <c r="D404" s="113"/>
      <c r="E404" s="114"/>
      <c r="F404" s="114"/>
      <c r="G404" s="114"/>
      <c r="H404" s="114"/>
      <c r="I404" s="114"/>
      <c r="J404" s="114"/>
      <c r="K404" s="114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  <c r="AA404" s="187"/>
      <c r="AB404" s="187"/>
      <c r="AC404" s="187"/>
      <c r="AD404" s="187"/>
    </row>
    <row r="405">
      <c r="A405" s="114"/>
      <c r="B405" s="114"/>
      <c r="C405" s="114"/>
      <c r="D405" s="113"/>
      <c r="E405" s="114"/>
      <c r="F405" s="114"/>
      <c r="G405" s="114"/>
      <c r="H405" s="114"/>
      <c r="I405" s="114"/>
      <c r="J405" s="114"/>
      <c r="K405" s="114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  <c r="AA405" s="187"/>
      <c r="AB405" s="187"/>
      <c r="AC405" s="187"/>
      <c r="AD405" s="187"/>
    </row>
    <row r="406">
      <c r="A406" s="114"/>
      <c r="B406" s="114"/>
      <c r="C406" s="114"/>
      <c r="D406" s="113"/>
      <c r="E406" s="114"/>
      <c r="F406" s="114"/>
      <c r="G406" s="114"/>
      <c r="H406" s="114"/>
      <c r="I406" s="114"/>
      <c r="J406" s="114"/>
      <c r="K406" s="114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  <c r="AA406" s="187"/>
      <c r="AB406" s="187"/>
      <c r="AC406" s="187"/>
      <c r="AD406" s="187"/>
    </row>
    <row r="407">
      <c r="A407" s="114"/>
      <c r="B407" s="114"/>
      <c r="C407" s="114"/>
      <c r="D407" s="113"/>
      <c r="E407" s="114"/>
      <c r="F407" s="114"/>
      <c r="G407" s="114"/>
      <c r="H407" s="114"/>
      <c r="I407" s="114"/>
      <c r="J407" s="114"/>
      <c r="K407" s="114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  <c r="AA407" s="187"/>
      <c r="AB407" s="187"/>
      <c r="AC407" s="187"/>
      <c r="AD407" s="187"/>
    </row>
    <row r="408">
      <c r="A408" s="114"/>
      <c r="B408" s="114"/>
      <c r="C408" s="114"/>
      <c r="D408" s="113"/>
      <c r="E408" s="114"/>
      <c r="F408" s="114"/>
      <c r="G408" s="114"/>
      <c r="H408" s="114"/>
      <c r="I408" s="114"/>
      <c r="J408" s="114"/>
      <c r="K408" s="114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  <c r="AA408" s="187"/>
      <c r="AB408" s="187"/>
      <c r="AC408" s="187"/>
      <c r="AD408" s="187"/>
    </row>
    <row r="409">
      <c r="A409" s="114"/>
      <c r="B409" s="114"/>
      <c r="C409" s="114"/>
      <c r="D409" s="113"/>
      <c r="E409" s="114"/>
      <c r="F409" s="114"/>
      <c r="G409" s="114"/>
      <c r="H409" s="114"/>
      <c r="I409" s="114"/>
      <c r="J409" s="114"/>
      <c r="K409" s="114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  <c r="AA409" s="187"/>
      <c r="AB409" s="187"/>
      <c r="AC409" s="187"/>
      <c r="AD409" s="187"/>
    </row>
    <row r="410">
      <c r="A410" s="114"/>
      <c r="B410" s="114"/>
      <c r="C410" s="114"/>
      <c r="D410" s="113"/>
      <c r="E410" s="114"/>
      <c r="F410" s="114"/>
      <c r="G410" s="114"/>
      <c r="H410" s="114"/>
      <c r="I410" s="114"/>
      <c r="J410" s="114"/>
      <c r="K410" s="114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  <c r="AA410" s="187"/>
      <c r="AB410" s="187"/>
      <c r="AC410" s="187"/>
      <c r="AD410" s="187"/>
    </row>
    <row r="411">
      <c r="A411" s="114"/>
      <c r="B411" s="114"/>
      <c r="C411" s="114"/>
      <c r="D411" s="113"/>
      <c r="E411" s="114"/>
      <c r="F411" s="114"/>
      <c r="G411" s="114"/>
      <c r="H411" s="114"/>
      <c r="I411" s="114"/>
      <c r="J411" s="114"/>
      <c r="K411" s="114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  <c r="AA411" s="187"/>
      <c r="AB411" s="187"/>
      <c r="AC411" s="187"/>
      <c r="AD411" s="187"/>
    </row>
    <row r="412">
      <c r="A412" s="114"/>
      <c r="B412" s="114"/>
      <c r="C412" s="114"/>
      <c r="D412" s="113"/>
      <c r="E412" s="114"/>
      <c r="F412" s="114"/>
      <c r="G412" s="114"/>
      <c r="H412" s="114"/>
      <c r="I412" s="114"/>
      <c r="J412" s="114"/>
      <c r="K412" s="114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  <c r="AA412" s="187"/>
      <c r="AB412" s="187"/>
      <c r="AC412" s="187"/>
      <c r="AD412" s="187"/>
    </row>
    <row r="413">
      <c r="A413" s="114"/>
      <c r="B413" s="114"/>
      <c r="C413" s="114"/>
      <c r="D413" s="113"/>
      <c r="E413" s="114"/>
      <c r="F413" s="114"/>
      <c r="G413" s="114"/>
      <c r="H413" s="114"/>
      <c r="I413" s="114"/>
      <c r="J413" s="114"/>
      <c r="K413" s="114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  <c r="AA413" s="187"/>
      <c r="AB413" s="187"/>
      <c r="AC413" s="187"/>
      <c r="AD413" s="187"/>
    </row>
    <row r="414">
      <c r="A414" s="114"/>
      <c r="B414" s="114"/>
      <c r="C414" s="114"/>
      <c r="D414" s="113"/>
      <c r="E414" s="114"/>
      <c r="F414" s="114"/>
      <c r="G414" s="114"/>
      <c r="H414" s="114"/>
      <c r="I414" s="114"/>
      <c r="J414" s="114"/>
      <c r="K414" s="114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  <c r="AA414" s="187"/>
      <c r="AB414" s="187"/>
      <c r="AC414" s="187"/>
      <c r="AD414" s="187"/>
    </row>
    <row r="415">
      <c r="A415" s="114"/>
      <c r="B415" s="114"/>
      <c r="C415" s="114"/>
      <c r="D415" s="113"/>
      <c r="E415" s="114"/>
      <c r="F415" s="114"/>
      <c r="G415" s="114"/>
      <c r="H415" s="114"/>
      <c r="I415" s="114"/>
      <c r="J415" s="114"/>
      <c r="K415" s="114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  <c r="AA415" s="187"/>
      <c r="AB415" s="187"/>
      <c r="AC415" s="187"/>
      <c r="AD415" s="187"/>
    </row>
    <row r="416">
      <c r="A416" s="114"/>
      <c r="B416" s="114"/>
      <c r="C416" s="114"/>
      <c r="D416" s="113"/>
      <c r="E416" s="114"/>
      <c r="F416" s="114"/>
      <c r="G416" s="114"/>
      <c r="H416" s="114"/>
      <c r="I416" s="114"/>
      <c r="J416" s="114"/>
      <c r="K416" s="114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  <c r="AA416" s="187"/>
      <c r="AB416" s="187"/>
      <c r="AC416" s="187"/>
      <c r="AD416" s="187"/>
    </row>
    <row r="417">
      <c r="A417" s="114"/>
      <c r="B417" s="114"/>
      <c r="C417" s="114"/>
      <c r="D417" s="113"/>
      <c r="E417" s="114"/>
      <c r="F417" s="114"/>
      <c r="G417" s="114"/>
      <c r="H417" s="114"/>
      <c r="I417" s="114"/>
      <c r="J417" s="114"/>
      <c r="K417" s="114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  <c r="AA417" s="187"/>
      <c r="AB417" s="187"/>
      <c r="AC417" s="187"/>
      <c r="AD417" s="187"/>
    </row>
    <row r="418">
      <c r="A418" s="114"/>
      <c r="B418" s="114"/>
      <c r="C418" s="114"/>
      <c r="D418" s="113"/>
      <c r="E418" s="114"/>
      <c r="F418" s="114"/>
      <c r="G418" s="114"/>
      <c r="H418" s="114"/>
      <c r="I418" s="114"/>
      <c r="J418" s="114"/>
      <c r="K418" s="114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  <c r="AA418" s="187"/>
      <c r="AB418" s="187"/>
      <c r="AC418" s="187"/>
      <c r="AD418" s="187"/>
    </row>
    <row r="419">
      <c r="A419" s="114"/>
      <c r="B419" s="114"/>
      <c r="C419" s="114"/>
      <c r="D419" s="113"/>
      <c r="E419" s="114"/>
      <c r="F419" s="114"/>
      <c r="G419" s="114"/>
      <c r="H419" s="114"/>
      <c r="I419" s="114"/>
      <c r="J419" s="114"/>
      <c r="K419" s="114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  <c r="AA419" s="187"/>
      <c r="AB419" s="187"/>
      <c r="AC419" s="187"/>
      <c r="AD419" s="187"/>
    </row>
    <row r="420">
      <c r="A420" s="114"/>
      <c r="B420" s="114"/>
      <c r="C420" s="114"/>
      <c r="D420" s="113"/>
      <c r="E420" s="114"/>
      <c r="F420" s="114"/>
      <c r="G420" s="114"/>
      <c r="H420" s="114"/>
      <c r="I420" s="114"/>
      <c r="J420" s="114"/>
      <c r="K420" s="114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  <c r="AA420" s="187"/>
      <c r="AB420" s="187"/>
      <c r="AC420" s="187"/>
      <c r="AD420" s="187"/>
    </row>
    <row r="421">
      <c r="A421" s="114"/>
      <c r="B421" s="114"/>
      <c r="C421" s="114"/>
      <c r="D421" s="113"/>
      <c r="E421" s="114"/>
      <c r="F421" s="114"/>
      <c r="G421" s="114"/>
      <c r="H421" s="114"/>
      <c r="I421" s="114"/>
      <c r="J421" s="114"/>
      <c r="K421" s="114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  <c r="AA421" s="187"/>
      <c r="AB421" s="187"/>
      <c r="AC421" s="187"/>
      <c r="AD421" s="187"/>
    </row>
    <row r="422">
      <c r="A422" s="114"/>
      <c r="B422" s="114"/>
      <c r="C422" s="114"/>
      <c r="D422" s="113"/>
      <c r="E422" s="114"/>
      <c r="F422" s="114"/>
      <c r="G422" s="114"/>
      <c r="H422" s="114"/>
      <c r="I422" s="114"/>
      <c r="J422" s="114"/>
      <c r="K422" s="114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  <c r="AA422" s="187"/>
      <c r="AB422" s="187"/>
      <c r="AC422" s="187"/>
      <c r="AD422" s="187"/>
    </row>
    <row r="423">
      <c r="A423" s="114"/>
      <c r="B423" s="114"/>
      <c r="C423" s="114"/>
      <c r="D423" s="113"/>
      <c r="E423" s="114"/>
      <c r="F423" s="114"/>
      <c r="G423" s="114"/>
      <c r="H423" s="114"/>
      <c r="I423" s="114"/>
      <c r="J423" s="114"/>
      <c r="K423" s="114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  <c r="AA423" s="187"/>
      <c r="AB423" s="187"/>
      <c r="AC423" s="187"/>
      <c r="AD423" s="187"/>
    </row>
    <row r="424">
      <c r="A424" s="114"/>
      <c r="B424" s="114"/>
      <c r="C424" s="114"/>
      <c r="D424" s="113"/>
      <c r="E424" s="114"/>
      <c r="F424" s="114"/>
      <c r="G424" s="114"/>
      <c r="H424" s="114"/>
      <c r="I424" s="114"/>
      <c r="J424" s="114"/>
      <c r="K424" s="114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  <c r="AA424" s="187"/>
      <c r="AB424" s="187"/>
      <c r="AC424" s="187"/>
      <c r="AD424" s="187"/>
    </row>
    <row r="425">
      <c r="A425" s="114"/>
      <c r="B425" s="114"/>
      <c r="C425" s="114"/>
      <c r="D425" s="113"/>
      <c r="E425" s="114"/>
      <c r="F425" s="114"/>
      <c r="G425" s="114"/>
      <c r="H425" s="114"/>
      <c r="I425" s="114"/>
      <c r="J425" s="114"/>
      <c r="K425" s="114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  <c r="AA425" s="187"/>
      <c r="AB425" s="187"/>
      <c r="AC425" s="187"/>
      <c r="AD425" s="187"/>
    </row>
    <row r="426">
      <c r="A426" s="114"/>
      <c r="B426" s="114"/>
      <c r="C426" s="114"/>
      <c r="D426" s="113"/>
      <c r="E426" s="114"/>
      <c r="F426" s="114"/>
      <c r="G426" s="114"/>
      <c r="H426" s="114"/>
      <c r="I426" s="114"/>
      <c r="J426" s="114"/>
      <c r="K426" s="114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  <c r="AA426" s="187"/>
      <c r="AB426" s="187"/>
      <c r="AC426" s="187"/>
      <c r="AD426" s="187"/>
    </row>
    <row r="427">
      <c r="A427" s="114"/>
      <c r="B427" s="114"/>
      <c r="C427" s="114"/>
      <c r="D427" s="113"/>
      <c r="E427" s="114"/>
      <c r="F427" s="114"/>
      <c r="G427" s="114"/>
      <c r="H427" s="114"/>
      <c r="I427" s="114"/>
      <c r="J427" s="114"/>
      <c r="K427" s="114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  <c r="AA427" s="187"/>
      <c r="AB427" s="187"/>
      <c r="AC427" s="187"/>
      <c r="AD427" s="187"/>
    </row>
    <row r="428">
      <c r="A428" s="114"/>
      <c r="B428" s="114"/>
      <c r="C428" s="114"/>
      <c r="D428" s="113"/>
      <c r="E428" s="114"/>
      <c r="F428" s="114"/>
      <c r="G428" s="114"/>
      <c r="H428" s="114"/>
      <c r="I428" s="114"/>
      <c r="J428" s="114"/>
      <c r="K428" s="114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  <c r="AA428" s="187"/>
      <c r="AB428" s="187"/>
      <c r="AC428" s="187"/>
      <c r="AD428" s="187"/>
    </row>
    <row r="429">
      <c r="A429" s="114"/>
      <c r="B429" s="114"/>
      <c r="C429" s="114"/>
      <c r="D429" s="113"/>
      <c r="E429" s="114"/>
      <c r="F429" s="114"/>
      <c r="G429" s="114"/>
      <c r="H429" s="114"/>
      <c r="I429" s="114"/>
      <c r="J429" s="114"/>
      <c r="K429" s="114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  <c r="AA429" s="187"/>
      <c r="AB429" s="187"/>
      <c r="AC429" s="187"/>
      <c r="AD429" s="187"/>
    </row>
    <row r="430">
      <c r="A430" s="114"/>
      <c r="B430" s="114"/>
      <c r="C430" s="114"/>
      <c r="D430" s="113"/>
      <c r="E430" s="114"/>
      <c r="F430" s="114"/>
      <c r="G430" s="114"/>
      <c r="H430" s="114"/>
      <c r="I430" s="114"/>
      <c r="J430" s="114"/>
      <c r="K430" s="114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  <c r="AA430" s="187"/>
      <c r="AB430" s="187"/>
      <c r="AC430" s="187"/>
      <c r="AD430" s="187"/>
    </row>
    <row r="431">
      <c r="A431" s="114"/>
      <c r="B431" s="114"/>
      <c r="C431" s="114"/>
      <c r="D431" s="113"/>
      <c r="E431" s="114"/>
      <c r="F431" s="114"/>
      <c r="G431" s="114"/>
      <c r="H431" s="114"/>
      <c r="I431" s="114"/>
      <c r="J431" s="114"/>
      <c r="K431" s="114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  <c r="AA431" s="187"/>
      <c r="AB431" s="187"/>
      <c r="AC431" s="187"/>
      <c r="AD431" s="187"/>
    </row>
    <row r="432">
      <c r="A432" s="114"/>
      <c r="B432" s="114"/>
      <c r="C432" s="114"/>
      <c r="D432" s="113"/>
      <c r="E432" s="114"/>
      <c r="F432" s="114"/>
      <c r="G432" s="114"/>
      <c r="H432" s="114"/>
      <c r="I432" s="114"/>
      <c r="J432" s="114"/>
      <c r="K432" s="114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  <c r="AA432" s="187"/>
      <c r="AB432" s="187"/>
      <c r="AC432" s="187"/>
      <c r="AD432" s="187"/>
    </row>
    <row r="433">
      <c r="A433" s="114"/>
      <c r="B433" s="114"/>
      <c r="C433" s="114"/>
      <c r="D433" s="113"/>
      <c r="E433" s="114"/>
      <c r="F433" s="114"/>
      <c r="G433" s="114"/>
      <c r="H433" s="114"/>
      <c r="I433" s="114"/>
      <c r="J433" s="114"/>
      <c r="K433" s="114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  <c r="AA433" s="187"/>
      <c r="AB433" s="187"/>
      <c r="AC433" s="187"/>
      <c r="AD433" s="187"/>
    </row>
    <row r="434">
      <c r="A434" s="114"/>
      <c r="B434" s="114"/>
      <c r="C434" s="114"/>
      <c r="D434" s="113"/>
      <c r="E434" s="114"/>
      <c r="F434" s="114"/>
      <c r="G434" s="114"/>
      <c r="H434" s="114"/>
      <c r="I434" s="114"/>
      <c r="J434" s="114"/>
      <c r="K434" s="114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  <c r="AA434" s="187"/>
      <c r="AB434" s="187"/>
      <c r="AC434" s="187"/>
      <c r="AD434" s="187"/>
    </row>
    <row r="435">
      <c r="A435" s="114"/>
      <c r="B435" s="114"/>
      <c r="C435" s="114"/>
      <c r="D435" s="113"/>
      <c r="E435" s="114"/>
      <c r="F435" s="114"/>
      <c r="G435" s="114"/>
      <c r="H435" s="114"/>
      <c r="I435" s="114"/>
      <c r="J435" s="114"/>
      <c r="K435" s="114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  <c r="AA435" s="187"/>
      <c r="AB435" s="187"/>
      <c r="AC435" s="187"/>
      <c r="AD435" s="187"/>
    </row>
    <row r="436">
      <c r="A436" s="114"/>
      <c r="B436" s="114"/>
      <c r="C436" s="114"/>
      <c r="D436" s="113"/>
      <c r="E436" s="114"/>
      <c r="F436" s="114"/>
      <c r="G436" s="114"/>
      <c r="H436" s="114"/>
      <c r="I436" s="114"/>
      <c r="J436" s="114"/>
      <c r="K436" s="114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  <c r="AA436" s="187"/>
      <c r="AB436" s="187"/>
      <c r="AC436" s="187"/>
      <c r="AD436" s="187"/>
    </row>
    <row r="437">
      <c r="A437" s="114"/>
      <c r="B437" s="114"/>
      <c r="C437" s="114"/>
      <c r="D437" s="113"/>
      <c r="E437" s="114"/>
      <c r="F437" s="114"/>
      <c r="G437" s="114"/>
      <c r="H437" s="114"/>
      <c r="I437" s="114"/>
      <c r="J437" s="114"/>
      <c r="K437" s="114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  <c r="AA437" s="187"/>
      <c r="AB437" s="187"/>
      <c r="AC437" s="187"/>
      <c r="AD437" s="187"/>
    </row>
    <row r="438">
      <c r="A438" s="114"/>
      <c r="B438" s="114"/>
      <c r="C438" s="114"/>
      <c r="D438" s="113"/>
      <c r="E438" s="114"/>
      <c r="F438" s="114"/>
      <c r="G438" s="114"/>
      <c r="H438" s="114"/>
      <c r="I438" s="114"/>
      <c r="J438" s="114"/>
      <c r="K438" s="114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  <c r="AA438" s="187"/>
      <c r="AB438" s="187"/>
      <c r="AC438" s="187"/>
      <c r="AD438" s="187"/>
    </row>
    <row r="439">
      <c r="A439" s="114"/>
      <c r="B439" s="114"/>
      <c r="C439" s="114"/>
      <c r="D439" s="113"/>
      <c r="E439" s="114"/>
      <c r="F439" s="114"/>
      <c r="G439" s="114"/>
      <c r="H439" s="114"/>
      <c r="I439" s="114"/>
      <c r="J439" s="114"/>
      <c r="K439" s="114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  <c r="AA439" s="187"/>
      <c r="AB439" s="187"/>
      <c r="AC439" s="187"/>
      <c r="AD439" s="187"/>
    </row>
    <row r="440">
      <c r="A440" s="114"/>
      <c r="B440" s="114"/>
      <c r="C440" s="114"/>
      <c r="D440" s="113"/>
      <c r="E440" s="114"/>
      <c r="F440" s="114"/>
      <c r="G440" s="114"/>
      <c r="H440" s="114"/>
      <c r="I440" s="114"/>
      <c r="J440" s="114"/>
      <c r="K440" s="114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  <c r="AA440" s="187"/>
      <c r="AB440" s="187"/>
      <c r="AC440" s="187"/>
      <c r="AD440" s="187"/>
    </row>
    <row r="441">
      <c r="A441" s="114"/>
      <c r="B441" s="114"/>
      <c r="C441" s="114"/>
      <c r="D441" s="113"/>
      <c r="E441" s="114"/>
      <c r="F441" s="114"/>
      <c r="G441" s="114"/>
      <c r="H441" s="114"/>
      <c r="I441" s="114"/>
      <c r="J441" s="114"/>
      <c r="K441" s="114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  <c r="AA441" s="187"/>
      <c r="AB441" s="187"/>
      <c r="AC441" s="187"/>
      <c r="AD441" s="187"/>
    </row>
    <row r="442">
      <c r="A442" s="114"/>
      <c r="B442" s="114"/>
      <c r="C442" s="114"/>
      <c r="D442" s="113"/>
      <c r="E442" s="114"/>
      <c r="F442" s="114"/>
      <c r="G442" s="114"/>
      <c r="H442" s="114"/>
      <c r="I442" s="114"/>
      <c r="J442" s="114"/>
      <c r="K442" s="114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  <c r="AA442" s="187"/>
      <c r="AB442" s="187"/>
      <c r="AC442" s="187"/>
      <c r="AD442" s="187"/>
    </row>
    <row r="443">
      <c r="A443" s="114"/>
      <c r="B443" s="114"/>
      <c r="C443" s="114"/>
      <c r="D443" s="113"/>
      <c r="E443" s="114"/>
      <c r="F443" s="114"/>
      <c r="G443" s="114"/>
      <c r="H443" s="114"/>
      <c r="I443" s="114"/>
      <c r="J443" s="114"/>
      <c r="K443" s="114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  <c r="AA443" s="187"/>
      <c r="AB443" s="187"/>
      <c r="AC443" s="187"/>
      <c r="AD443" s="187"/>
    </row>
    <row r="444">
      <c r="A444" s="114"/>
      <c r="B444" s="114"/>
      <c r="C444" s="114"/>
      <c r="D444" s="113"/>
      <c r="E444" s="114"/>
      <c r="F444" s="114"/>
      <c r="G444" s="114"/>
      <c r="H444" s="114"/>
      <c r="I444" s="114"/>
      <c r="J444" s="114"/>
      <c r="K444" s="114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  <c r="AA444" s="187"/>
      <c r="AB444" s="187"/>
      <c r="AC444" s="187"/>
      <c r="AD444" s="187"/>
    </row>
    <row r="445">
      <c r="A445" s="114"/>
      <c r="B445" s="114"/>
      <c r="C445" s="114"/>
      <c r="D445" s="113"/>
      <c r="E445" s="114"/>
      <c r="F445" s="114"/>
      <c r="G445" s="114"/>
      <c r="H445" s="114"/>
      <c r="I445" s="114"/>
      <c r="J445" s="114"/>
      <c r="K445" s="114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  <c r="AA445" s="187"/>
      <c r="AB445" s="187"/>
      <c r="AC445" s="187"/>
      <c r="AD445" s="187"/>
    </row>
    <row r="446">
      <c r="A446" s="114"/>
      <c r="B446" s="114"/>
      <c r="C446" s="114"/>
      <c r="D446" s="113"/>
      <c r="E446" s="114"/>
      <c r="F446" s="114"/>
      <c r="G446" s="114"/>
      <c r="H446" s="114"/>
      <c r="I446" s="114"/>
      <c r="J446" s="114"/>
      <c r="K446" s="114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  <c r="AA446" s="187"/>
      <c r="AB446" s="187"/>
      <c r="AC446" s="187"/>
      <c r="AD446" s="187"/>
    </row>
    <row r="447">
      <c r="A447" s="114"/>
      <c r="B447" s="114"/>
      <c r="C447" s="114"/>
      <c r="D447" s="113"/>
      <c r="E447" s="114"/>
      <c r="F447" s="114"/>
      <c r="G447" s="114"/>
      <c r="H447" s="114"/>
      <c r="I447" s="114"/>
      <c r="J447" s="114"/>
      <c r="K447" s="114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  <c r="AA447" s="187"/>
      <c r="AB447" s="187"/>
      <c r="AC447" s="187"/>
      <c r="AD447" s="187"/>
    </row>
    <row r="448">
      <c r="A448" s="114"/>
      <c r="B448" s="114"/>
      <c r="C448" s="114"/>
      <c r="D448" s="113"/>
      <c r="E448" s="114"/>
      <c r="F448" s="114"/>
      <c r="G448" s="114"/>
      <c r="H448" s="114"/>
      <c r="I448" s="114"/>
      <c r="J448" s="114"/>
      <c r="K448" s="114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  <c r="AA448" s="187"/>
      <c r="AB448" s="187"/>
      <c r="AC448" s="187"/>
      <c r="AD448" s="187"/>
    </row>
    <row r="449">
      <c r="A449" s="114"/>
      <c r="B449" s="114"/>
      <c r="C449" s="114"/>
      <c r="D449" s="113"/>
      <c r="E449" s="114"/>
      <c r="F449" s="114"/>
      <c r="G449" s="114"/>
      <c r="H449" s="114"/>
      <c r="I449" s="114"/>
      <c r="J449" s="114"/>
      <c r="K449" s="114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  <c r="AA449" s="187"/>
      <c r="AB449" s="187"/>
      <c r="AC449" s="187"/>
      <c r="AD449" s="187"/>
    </row>
    <row r="450">
      <c r="A450" s="114"/>
      <c r="B450" s="114"/>
      <c r="C450" s="114"/>
      <c r="D450" s="113"/>
      <c r="E450" s="114"/>
      <c r="F450" s="114"/>
      <c r="G450" s="114"/>
      <c r="H450" s="114"/>
      <c r="I450" s="114"/>
      <c r="J450" s="114"/>
      <c r="K450" s="114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  <c r="AA450" s="187"/>
      <c r="AB450" s="187"/>
      <c r="AC450" s="187"/>
      <c r="AD450" s="187"/>
    </row>
    <row r="451">
      <c r="A451" s="114"/>
      <c r="B451" s="114"/>
      <c r="C451" s="114"/>
      <c r="D451" s="113"/>
      <c r="E451" s="114"/>
      <c r="F451" s="114"/>
      <c r="G451" s="114"/>
      <c r="H451" s="114"/>
      <c r="I451" s="114"/>
      <c r="J451" s="114"/>
      <c r="K451" s="114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  <c r="AA451" s="187"/>
      <c r="AB451" s="187"/>
      <c r="AC451" s="187"/>
      <c r="AD451" s="187"/>
    </row>
    <row r="452">
      <c r="A452" s="114"/>
      <c r="B452" s="114"/>
      <c r="C452" s="114"/>
      <c r="D452" s="113"/>
      <c r="E452" s="114"/>
      <c r="F452" s="114"/>
      <c r="G452" s="114"/>
      <c r="H452" s="114"/>
      <c r="I452" s="114"/>
      <c r="J452" s="114"/>
      <c r="K452" s="114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  <c r="AA452" s="187"/>
      <c r="AB452" s="187"/>
      <c r="AC452" s="187"/>
      <c r="AD452" s="187"/>
    </row>
    <row r="453">
      <c r="A453" s="114"/>
      <c r="B453" s="114"/>
      <c r="C453" s="114"/>
      <c r="D453" s="113"/>
      <c r="E453" s="114"/>
      <c r="F453" s="114"/>
      <c r="G453" s="114"/>
      <c r="H453" s="114"/>
      <c r="I453" s="114"/>
      <c r="J453" s="114"/>
      <c r="K453" s="114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  <c r="AA453" s="187"/>
      <c r="AB453" s="187"/>
      <c r="AC453" s="187"/>
      <c r="AD453" s="187"/>
    </row>
    <row r="454">
      <c r="A454" s="114"/>
      <c r="B454" s="114"/>
      <c r="C454" s="114"/>
      <c r="D454" s="113"/>
      <c r="E454" s="114"/>
      <c r="F454" s="114"/>
      <c r="G454" s="114"/>
      <c r="H454" s="114"/>
      <c r="I454" s="114"/>
      <c r="J454" s="114"/>
      <c r="K454" s="114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  <c r="AA454" s="187"/>
      <c r="AB454" s="187"/>
      <c r="AC454" s="187"/>
      <c r="AD454" s="187"/>
    </row>
    <row r="455">
      <c r="A455" s="114"/>
      <c r="B455" s="114"/>
      <c r="C455" s="114"/>
      <c r="D455" s="113"/>
      <c r="E455" s="114"/>
      <c r="F455" s="114"/>
      <c r="G455" s="114"/>
      <c r="H455" s="114"/>
      <c r="I455" s="114"/>
      <c r="J455" s="114"/>
      <c r="K455" s="114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  <c r="AA455" s="187"/>
      <c r="AB455" s="187"/>
      <c r="AC455" s="187"/>
      <c r="AD455" s="187"/>
    </row>
    <row r="456">
      <c r="A456" s="114"/>
      <c r="B456" s="114"/>
      <c r="C456" s="114"/>
      <c r="D456" s="113"/>
      <c r="E456" s="114"/>
      <c r="F456" s="114"/>
      <c r="G456" s="114"/>
      <c r="H456" s="114"/>
      <c r="I456" s="114"/>
      <c r="J456" s="114"/>
      <c r="K456" s="114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  <c r="AA456" s="187"/>
      <c r="AB456" s="187"/>
      <c r="AC456" s="187"/>
      <c r="AD456" s="187"/>
    </row>
    <row r="457">
      <c r="A457" s="114"/>
      <c r="B457" s="114"/>
      <c r="C457" s="114"/>
      <c r="D457" s="113"/>
      <c r="E457" s="114"/>
      <c r="F457" s="114"/>
      <c r="G457" s="114"/>
      <c r="H457" s="114"/>
      <c r="I457" s="114"/>
      <c r="J457" s="114"/>
      <c r="K457" s="114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  <c r="AA457" s="187"/>
      <c r="AB457" s="187"/>
      <c r="AC457" s="187"/>
      <c r="AD457" s="187"/>
    </row>
    <row r="458">
      <c r="A458" s="114"/>
      <c r="B458" s="114"/>
      <c r="C458" s="114"/>
      <c r="D458" s="113"/>
      <c r="E458" s="114"/>
      <c r="F458" s="114"/>
      <c r="G458" s="114"/>
      <c r="H458" s="114"/>
      <c r="I458" s="114"/>
      <c r="J458" s="114"/>
      <c r="K458" s="114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  <c r="AA458" s="187"/>
      <c r="AB458" s="187"/>
      <c r="AC458" s="187"/>
      <c r="AD458" s="187"/>
    </row>
    <row r="459">
      <c r="A459" s="114"/>
      <c r="B459" s="114"/>
      <c r="C459" s="114"/>
      <c r="D459" s="113"/>
      <c r="E459" s="114"/>
      <c r="F459" s="114"/>
      <c r="G459" s="114"/>
      <c r="H459" s="114"/>
      <c r="I459" s="114"/>
      <c r="J459" s="114"/>
      <c r="K459" s="114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  <c r="AA459" s="187"/>
      <c r="AB459" s="187"/>
      <c r="AC459" s="187"/>
      <c r="AD459" s="187"/>
    </row>
    <row r="460">
      <c r="A460" s="114"/>
      <c r="B460" s="114"/>
      <c r="C460" s="114"/>
      <c r="D460" s="113"/>
      <c r="E460" s="114"/>
      <c r="F460" s="114"/>
      <c r="G460" s="114"/>
      <c r="H460" s="114"/>
      <c r="I460" s="114"/>
      <c r="J460" s="114"/>
      <c r="K460" s="114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  <c r="AA460" s="187"/>
      <c r="AB460" s="187"/>
      <c r="AC460" s="187"/>
      <c r="AD460" s="187"/>
    </row>
    <row r="461">
      <c r="A461" s="114"/>
      <c r="B461" s="114"/>
      <c r="C461" s="114"/>
      <c r="D461" s="113"/>
      <c r="E461" s="114"/>
      <c r="F461" s="114"/>
      <c r="G461" s="114"/>
      <c r="H461" s="114"/>
      <c r="I461" s="114"/>
      <c r="J461" s="114"/>
      <c r="K461" s="114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  <c r="AA461" s="187"/>
      <c r="AB461" s="187"/>
      <c r="AC461" s="187"/>
      <c r="AD461" s="187"/>
    </row>
    <row r="462">
      <c r="A462" s="114"/>
      <c r="B462" s="114"/>
      <c r="C462" s="114"/>
      <c r="D462" s="113"/>
      <c r="E462" s="114"/>
      <c r="F462" s="114"/>
      <c r="G462" s="114"/>
      <c r="H462" s="114"/>
      <c r="I462" s="114"/>
      <c r="J462" s="114"/>
      <c r="K462" s="114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  <c r="AA462" s="187"/>
      <c r="AB462" s="187"/>
      <c r="AC462" s="187"/>
      <c r="AD462" s="187"/>
    </row>
    <row r="463">
      <c r="A463" s="114"/>
      <c r="B463" s="114"/>
      <c r="C463" s="114"/>
      <c r="D463" s="113"/>
      <c r="E463" s="114"/>
      <c r="F463" s="114"/>
      <c r="G463" s="114"/>
      <c r="H463" s="114"/>
      <c r="I463" s="114"/>
      <c r="J463" s="114"/>
      <c r="K463" s="114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  <c r="AA463" s="187"/>
      <c r="AB463" s="187"/>
      <c r="AC463" s="187"/>
      <c r="AD463" s="187"/>
    </row>
    <row r="464">
      <c r="A464" s="114"/>
      <c r="B464" s="114"/>
      <c r="C464" s="114"/>
      <c r="D464" s="113"/>
      <c r="E464" s="114"/>
      <c r="F464" s="114"/>
      <c r="G464" s="114"/>
      <c r="H464" s="114"/>
      <c r="I464" s="114"/>
      <c r="J464" s="114"/>
      <c r="K464" s="114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  <c r="AA464" s="187"/>
      <c r="AB464" s="187"/>
      <c r="AC464" s="187"/>
      <c r="AD464" s="187"/>
    </row>
    <row r="465">
      <c r="A465" s="114"/>
      <c r="B465" s="114"/>
      <c r="C465" s="114"/>
      <c r="D465" s="113"/>
      <c r="E465" s="114"/>
      <c r="F465" s="114"/>
      <c r="G465" s="114"/>
      <c r="H465" s="114"/>
      <c r="I465" s="114"/>
      <c r="J465" s="114"/>
      <c r="K465" s="114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  <c r="AA465" s="187"/>
      <c r="AB465" s="187"/>
      <c r="AC465" s="187"/>
      <c r="AD465" s="187"/>
    </row>
    <row r="466">
      <c r="A466" s="114"/>
      <c r="B466" s="114"/>
      <c r="C466" s="114"/>
      <c r="D466" s="113"/>
      <c r="E466" s="114"/>
      <c r="F466" s="114"/>
      <c r="G466" s="114"/>
      <c r="H466" s="114"/>
      <c r="I466" s="114"/>
      <c r="J466" s="114"/>
      <c r="K466" s="114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  <c r="AA466" s="187"/>
      <c r="AB466" s="187"/>
      <c r="AC466" s="187"/>
      <c r="AD466" s="187"/>
    </row>
    <row r="467">
      <c r="A467" s="114"/>
      <c r="B467" s="114"/>
      <c r="C467" s="114"/>
      <c r="D467" s="113"/>
      <c r="E467" s="114"/>
      <c r="F467" s="114"/>
      <c r="G467" s="114"/>
      <c r="H467" s="114"/>
      <c r="I467" s="114"/>
      <c r="J467" s="114"/>
      <c r="K467" s="114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  <c r="AA467" s="187"/>
      <c r="AB467" s="187"/>
      <c r="AC467" s="187"/>
      <c r="AD467" s="187"/>
    </row>
    <row r="468">
      <c r="A468" s="114"/>
      <c r="B468" s="114"/>
      <c r="C468" s="114"/>
      <c r="D468" s="113"/>
      <c r="E468" s="114"/>
      <c r="F468" s="114"/>
      <c r="G468" s="114"/>
      <c r="H468" s="114"/>
      <c r="I468" s="114"/>
      <c r="J468" s="114"/>
      <c r="K468" s="114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  <c r="AA468" s="187"/>
      <c r="AB468" s="187"/>
      <c r="AC468" s="187"/>
      <c r="AD468" s="187"/>
    </row>
    <row r="469">
      <c r="A469" s="114"/>
      <c r="B469" s="114"/>
      <c r="C469" s="114"/>
      <c r="D469" s="113"/>
      <c r="E469" s="114"/>
      <c r="F469" s="114"/>
      <c r="G469" s="114"/>
      <c r="H469" s="114"/>
      <c r="I469" s="114"/>
      <c r="J469" s="114"/>
      <c r="K469" s="114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  <c r="AA469" s="187"/>
      <c r="AB469" s="187"/>
      <c r="AC469" s="187"/>
      <c r="AD469" s="187"/>
    </row>
    <row r="470">
      <c r="A470" s="114"/>
      <c r="B470" s="114"/>
      <c r="C470" s="114"/>
      <c r="D470" s="113"/>
      <c r="E470" s="114"/>
      <c r="F470" s="114"/>
      <c r="G470" s="114"/>
      <c r="H470" s="114"/>
      <c r="I470" s="114"/>
      <c r="J470" s="114"/>
      <c r="K470" s="114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  <c r="AA470" s="187"/>
      <c r="AB470" s="187"/>
      <c r="AC470" s="187"/>
      <c r="AD470" s="187"/>
    </row>
    <row r="471">
      <c r="A471" s="114"/>
      <c r="B471" s="114"/>
      <c r="C471" s="114"/>
      <c r="D471" s="113"/>
      <c r="E471" s="114"/>
      <c r="F471" s="114"/>
      <c r="G471" s="114"/>
      <c r="H471" s="114"/>
      <c r="I471" s="114"/>
      <c r="J471" s="114"/>
      <c r="K471" s="114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  <c r="AA471" s="187"/>
      <c r="AB471" s="187"/>
      <c r="AC471" s="187"/>
      <c r="AD471" s="187"/>
    </row>
    <row r="472">
      <c r="A472" s="114"/>
      <c r="B472" s="114"/>
      <c r="C472" s="114"/>
      <c r="D472" s="113"/>
      <c r="E472" s="114"/>
      <c r="F472" s="114"/>
      <c r="G472" s="114"/>
      <c r="H472" s="114"/>
      <c r="I472" s="114"/>
      <c r="J472" s="114"/>
      <c r="K472" s="114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  <c r="AA472" s="187"/>
      <c r="AB472" s="187"/>
      <c r="AC472" s="187"/>
      <c r="AD472" s="187"/>
    </row>
    <row r="473">
      <c r="A473" s="114"/>
      <c r="B473" s="114"/>
      <c r="C473" s="114"/>
      <c r="D473" s="113"/>
      <c r="E473" s="114"/>
      <c r="F473" s="114"/>
      <c r="G473" s="114"/>
      <c r="H473" s="114"/>
      <c r="I473" s="114"/>
      <c r="J473" s="114"/>
      <c r="K473" s="114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  <c r="AA473" s="187"/>
      <c r="AB473" s="187"/>
      <c r="AC473" s="187"/>
      <c r="AD473" s="187"/>
    </row>
    <row r="474">
      <c r="A474" s="114"/>
      <c r="B474" s="114"/>
      <c r="C474" s="114"/>
      <c r="D474" s="113"/>
      <c r="E474" s="114"/>
      <c r="F474" s="114"/>
      <c r="G474" s="114"/>
      <c r="H474" s="114"/>
      <c r="I474" s="114"/>
      <c r="J474" s="114"/>
      <c r="K474" s="114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  <c r="AA474" s="187"/>
      <c r="AB474" s="187"/>
      <c r="AC474" s="187"/>
      <c r="AD474" s="187"/>
    </row>
    <row r="475">
      <c r="A475" s="114"/>
      <c r="B475" s="114"/>
      <c r="C475" s="114"/>
      <c r="D475" s="113"/>
      <c r="E475" s="114"/>
      <c r="F475" s="114"/>
      <c r="G475" s="114"/>
      <c r="H475" s="114"/>
      <c r="I475" s="114"/>
      <c r="J475" s="114"/>
      <c r="K475" s="114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  <c r="AA475" s="187"/>
      <c r="AB475" s="187"/>
      <c r="AC475" s="187"/>
      <c r="AD475" s="187"/>
    </row>
    <row r="476">
      <c r="A476" s="114"/>
      <c r="B476" s="114"/>
      <c r="C476" s="114"/>
      <c r="D476" s="113"/>
      <c r="E476" s="114"/>
      <c r="F476" s="114"/>
      <c r="G476" s="114"/>
      <c r="H476" s="114"/>
      <c r="I476" s="114"/>
      <c r="J476" s="114"/>
      <c r="K476" s="114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  <c r="AA476" s="187"/>
      <c r="AB476" s="187"/>
      <c r="AC476" s="187"/>
      <c r="AD476" s="187"/>
    </row>
    <row r="477">
      <c r="A477" s="114"/>
      <c r="B477" s="114"/>
      <c r="C477" s="114"/>
      <c r="D477" s="113"/>
      <c r="E477" s="114"/>
      <c r="F477" s="114"/>
      <c r="G477" s="114"/>
      <c r="H477" s="114"/>
      <c r="I477" s="114"/>
      <c r="J477" s="114"/>
      <c r="K477" s="114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  <c r="AA477" s="187"/>
      <c r="AB477" s="187"/>
      <c r="AC477" s="187"/>
      <c r="AD477" s="187"/>
    </row>
    <row r="478">
      <c r="A478" s="114"/>
      <c r="B478" s="114"/>
      <c r="C478" s="114"/>
      <c r="D478" s="113"/>
      <c r="E478" s="114"/>
      <c r="F478" s="114"/>
      <c r="G478" s="114"/>
      <c r="H478" s="114"/>
      <c r="I478" s="114"/>
      <c r="J478" s="114"/>
      <c r="K478" s="114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  <c r="AA478" s="187"/>
      <c r="AB478" s="187"/>
      <c r="AC478" s="187"/>
      <c r="AD478" s="187"/>
    </row>
    <row r="479">
      <c r="A479" s="114"/>
      <c r="B479" s="114"/>
      <c r="C479" s="114"/>
      <c r="D479" s="113"/>
      <c r="E479" s="114"/>
      <c r="F479" s="114"/>
      <c r="G479" s="114"/>
      <c r="H479" s="114"/>
      <c r="I479" s="114"/>
      <c r="J479" s="114"/>
      <c r="K479" s="114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  <c r="AA479" s="187"/>
      <c r="AB479" s="187"/>
      <c r="AC479" s="187"/>
      <c r="AD479" s="187"/>
    </row>
    <row r="480">
      <c r="A480" s="114"/>
      <c r="B480" s="114"/>
      <c r="C480" s="114"/>
      <c r="D480" s="113"/>
      <c r="E480" s="114"/>
      <c r="F480" s="114"/>
      <c r="G480" s="114"/>
      <c r="H480" s="114"/>
      <c r="I480" s="114"/>
      <c r="J480" s="114"/>
      <c r="K480" s="114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  <c r="AA480" s="187"/>
      <c r="AB480" s="187"/>
      <c r="AC480" s="187"/>
      <c r="AD480" s="187"/>
    </row>
    <row r="481">
      <c r="A481" s="114"/>
      <c r="B481" s="114"/>
      <c r="C481" s="114"/>
      <c r="D481" s="113"/>
      <c r="E481" s="114"/>
      <c r="F481" s="114"/>
      <c r="G481" s="114"/>
      <c r="H481" s="114"/>
      <c r="I481" s="114"/>
      <c r="J481" s="114"/>
      <c r="K481" s="114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  <c r="AA481" s="187"/>
      <c r="AB481" s="187"/>
      <c r="AC481" s="187"/>
      <c r="AD481" s="187"/>
    </row>
    <row r="482">
      <c r="A482" s="114"/>
      <c r="B482" s="114"/>
      <c r="C482" s="114"/>
      <c r="D482" s="113"/>
      <c r="E482" s="114"/>
      <c r="F482" s="114"/>
      <c r="G482" s="114"/>
      <c r="H482" s="114"/>
      <c r="I482" s="114"/>
      <c r="J482" s="114"/>
      <c r="K482" s="114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  <c r="AA482" s="187"/>
      <c r="AB482" s="187"/>
      <c r="AC482" s="187"/>
      <c r="AD482" s="187"/>
    </row>
    <row r="483">
      <c r="A483" s="114"/>
      <c r="B483" s="114"/>
      <c r="C483" s="114"/>
      <c r="D483" s="113"/>
      <c r="E483" s="114"/>
      <c r="F483" s="114"/>
      <c r="G483" s="114"/>
      <c r="H483" s="114"/>
      <c r="I483" s="114"/>
      <c r="J483" s="114"/>
      <c r="K483" s="114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  <c r="AA483" s="187"/>
      <c r="AB483" s="187"/>
      <c r="AC483" s="187"/>
      <c r="AD483" s="187"/>
    </row>
    <row r="484">
      <c r="A484" s="114"/>
      <c r="B484" s="114"/>
      <c r="C484" s="114"/>
      <c r="D484" s="113"/>
      <c r="E484" s="114"/>
      <c r="F484" s="114"/>
      <c r="G484" s="114"/>
      <c r="H484" s="114"/>
      <c r="I484" s="114"/>
      <c r="J484" s="114"/>
      <c r="K484" s="114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  <c r="AA484" s="187"/>
      <c r="AB484" s="187"/>
      <c r="AC484" s="187"/>
      <c r="AD484" s="187"/>
    </row>
    <row r="485">
      <c r="A485" s="114"/>
      <c r="B485" s="114"/>
      <c r="C485" s="114"/>
      <c r="D485" s="113"/>
      <c r="E485" s="114"/>
      <c r="F485" s="114"/>
      <c r="G485" s="114"/>
      <c r="H485" s="114"/>
      <c r="I485" s="114"/>
      <c r="J485" s="114"/>
      <c r="K485" s="114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  <c r="AA485" s="187"/>
      <c r="AB485" s="187"/>
      <c r="AC485" s="187"/>
      <c r="AD485" s="187"/>
    </row>
    <row r="486">
      <c r="A486" s="114"/>
      <c r="B486" s="114"/>
      <c r="C486" s="114"/>
      <c r="D486" s="113"/>
      <c r="E486" s="114"/>
      <c r="F486" s="114"/>
      <c r="G486" s="114"/>
      <c r="H486" s="114"/>
      <c r="I486" s="114"/>
      <c r="J486" s="114"/>
      <c r="K486" s="114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  <c r="AA486" s="187"/>
      <c r="AB486" s="187"/>
      <c r="AC486" s="187"/>
      <c r="AD486" s="187"/>
    </row>
    <row r="487">
      <c r="A487" s="114"/>
      <c r="B487" s="114"/>
      <c r="C487" s="114"/>
      <c r="D487" s="113"/>
      <c r="E487" s="114"/>
      <c r="F487" s="114"/>
      <c r="G487" s="114"/>
      <c r="H487" s="114"/>
      <c r="I487" s="114"/>
      <c r="J487" s="114"/>
      <c r="K487" s="114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  <c r="AA487" s="187"/>
      <c r="AB487" s="187"/>
      <c r="AC487" s="187"/>
      <c r="AD487" s="187"/>
    </row>
    <row r="488">
      <c r="A488" s="114"/>
      <c r="B488" s="114"/>
      <c r="C488" s="114"/>
      <c r="D488" s="113"/>
      <c r="E488" s="114"/>
      <c r="F488" s="114"/>
      <c r="G488" s="114"/>
      <c r="H488" s="114"/>
      <c r="I488" s="114"/>
      <c r="J488" s="114"/>
      <c r="K488" s="114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  <c r="AA488" s="187"/>
      <c r="AB488" s="187"/>
      <c r="AC488" s="187"/>
      <c r="AD488" s="187"/>
    </row>
    <row r="489">
      <c r="A489" s="114"/>
      <c r="B489" s="114"/>
      <c r="C489" s="114"/>
      <c r="D489" s="113"/>
      <c r="E489" s="114"/>
      <c r="F489" s="114"/>
      <c r="G489" s="114"/>
      <c r="H489" s="114"/>
      <c r="I489" s="114"/>
      <c r="J489" s="114"/>
      <c r="K489" s="114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  <c r="AA489" s="187"/>
      <c r="AB489" s="187"/>
      <c r="AC489" s="187"/>
      <c r="AD489" s="187"/>
    </row>
    <row r="490">
      <c r="A490" s="114"/>
      <c r="B490" s="114"/>
      <c r="C490" s="114"/>
      <c r="D490" s="113"/>
      <c r="E490" s="114"/>
      <c r="F490" s="114"/>
      <c r="G490" s="114"/>
      <c r="H490" s="114"/>
      <c r="I490" s="114"/>
      <c r="J490" s="114"/>
      <c r="K490" s="114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  <c r="AA490" s="187"/>
      <c r="AB490" s="187"/>
      <c r="AC490" s="187"/>
      <c r="AD490" s="187"/>
    </row>
    <row r="491">
      <c r="A491" s="114"/>
      <c r="B491" s="114"/>
      <c r="C491" s="114"/>
      <c r="D491" s="113"/>
      <c r="E491" s="114"/>
      <c r="F491" s="114"/>
      <c r="G491" s="114"/>
      <c r="H491" s="114"/>
      <c r="I491" s="114"/>
      <c r="J491" s="114"/>
      <c r="K491" s="114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  <c r="AA491" s="187"/>
      <c r="AB491" s="187"/>
      <c r="AC491" s="187"/>
      <c r="AD491" s="187"/>
    </row>
    <row r="492">
      <c r="A492" s="114"/>
      <c r="B492" s="114"/>
      <c r="C492" s="114"/>
      <c r="D492" s="113"/>
      <c r="E492" s="114"/>
      <c r="F492" s="114"/>
      <c r="G492" s="114"/>
      <c r="H492" s="114"/>
      <c r="I492" s="114"/>
      <c r="J492" s="114"/>
      <c r="K492" s="114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  <c r="AA492" s="187"/>
      <c r="AB492" s="187"/>
      <c r="AC492" s="187"/>
      <c r="AD492" s="187"/>
    </row>
    <row r="493">
      <c r="A493" s="114"/>
      <c r="B493" s="114"/>
      <c r="C493" s="114"/>
      <c r="D493" s="113"/>
      <c r="E493" s="114"/>
      <c r="F493" s="114"/>
      <c r="G493" s="114"/>
      <c r="H493" s="114"/>
      <c r="I493" s="114"/>
      <c r="J493" s="114"/>
      <c r="K493" s="114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  <c r="AA493" s="187"/>
      <c r="AB493" s="187"/>
      <c r="AC493" s="187"/>
      <c r="AD493" s="187"/>
    </row>
    <row r="494">
      <c r="A494" s="114"/>
      <c r="B494" s="114"/>
      <c r="C494" s="114"/>
      <c r="D494" s="113"/>
      <c r="E494" s="114"/>
      <c r="F494" s="114"/>
      <c r="G494" s="114"/>
      <c r="H494" s="114"/>
      <c r="I494" s="114"/>
      <c r="J494" s="114"/>
      <c r="K494" s="114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  <c r="AA494" s="187"/>
      <c r="AB494" s="187"/>
      <c r="AC494" s="187"/>
      <c r="AD494" s="187"/>
    </row>
    <row r="495">
      <c r="A495" s="114"/>
      <c r="B495" s="114"/>
      <c r="C495" s="114"/>
      <c r="D495" s="113"/>
      <c r="E495" s="114"/>
      <c r="F495" s="114"/>
      <c r="G495" s="114"/>
      <c r="H495" s="114"/>
      <c r="I495" s="114"/>
      <c r="J495" s="114"/>
      <c r="K495" s="114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  <c r="AA495" s="187"/>
      <c r="AB495" s="187"/>
      <c r="AC495" s="187"/>
      <c r="AD495" s="187"/>
    </row>
    <row r="496">
      <c r="A496" s="114"/>
      <c r="B496" s="114"/>
      <c r="C496" s="114"/>
      <c r="D496" s="113"/>
      <c r="E496" s="114"/>
      <c r="F496" s="114"/>
      <c r="G496" s="114"/>
      <c r="H496" s="114"/>
      <c r="I496" s="114"/>
      <c r="J496" s="114"/>
      <c r="K496" s="114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  <c r="AA496" s="187"/>
      <c r="AB496" s="187"/>
      <c r="AC496" s="187"/>
      <c r="AD496" s="187"/>
    </row>
    <row r="497">
      <c r="A497" s="114"/>
      <c r="B497" s="114"/>
      <c r="C497" s="114"/>
      <c r="D497" s="113"/>
      <c r="E497" s="114"/>
      <c r="F497" s="114"/>
      <c r="G497" s="114"/>
      <c r="H497" s="114"/>
      <c r="I497" s="114"/>
      <c r="J497" s="114"/>
      <c r="K497" s="114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  <c r="AA497" s="187"/>
      <c r="AB497" s="187"/>
      <c r="AC497" s="187"/>
      <c r="AD497" s="187"/>
    </row>
    <row r="498">
      <c r="A498" s="114"/>
      <c r="B498" s="114"/>
      <c r="C498" s="114"/>
      <c r="D498" s="113"/>
      <c r="E498" s="114"/>
      <c r="F498" s="114"/>
      <c r="G498" s="114"/>
      <c r="H498" s="114"/>
      <c r="I498" s="114"/>
      <c r="J498" s="114"/>
      <c r="K498" s="114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  <c r="AA498" s="187"/>
      <c r="AB498" s="187"/>
      <c r="AC498" s="187"/>
      <c r="AD498" s="187"/>
    </row>
    <row r="499">
      <c r="A499" s="114"/>
      <c r="B499" s="114"/>
      <c r="C499" s="114"/>
      <c r="D499" s="113"/>
      <c r="E499" s="114"/>
      <c r="F499" s="114"/>
      <c r="G499" s="114"/>
      <c r="H499" s="114"/>
      <c r="I499" s="114"/>
      <c r="J499" s="114"/>
      <c r="K499" s="114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  <c r="AA499" s="187"/>
      <c r="AB499" s="187"/>
      <c r="AC499" s="187"/>
      <c r="AD499" s="187"/>
    </row>
    <row r="500">
      <c r="A500" s="114"/>
      <c r="B500" s="114"/>
      <c r="C500" s="114"/>
      <c r="D500" s="113"/>
      <c r="E500" s="114"/>
      <c r="F500" s="114"/>
      <c r="G500" s="114"/>
      <c r="H500" s="114"/>
      <c r="I500" s="114"/>
      <c r="J500" s="114"/>
      <c r="K500" s="114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  <c r="AA500" s="187"/>
      <c r="AB500" s="187"/>
      <c r="AC500" s="187"/>
      <c r="AD500" s="187"/>
    </row>
    <row r="501">
      <c r="A501" s="114"/>
      <c r="B501" s="114"/>
      <c r="C501" s="114"/>
      <c r="D501" s="113"/>
      <c r="E501" s="114"/>
      <c r="F501" s="114"/>
      <c r="G501" s="114"/>
      <c r="H501" s="114"/>
      <c r="I501" s="114"/>
      <c r="J501" s="114"/>
      <c r="K501" s="114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  <c r="AA501" s="187"/>
      <c r="AB501" s="187"/>
      <c r="AC501" s="187"/>
      <c r="AD501" s="187"/>
    </row>
    <row r="502">
      <c r="A502" s="114"/>
      <c r="B502" s="114"/>
      <c r="C502" s="114"/>
      <c r="D502" s="113"/>
      <c r="E502" s="114"/>
      <c r="F502" s="114"/>
      <c r="G502" s="114"/>
      <c r="H502" s="114"/>
      <c r="I502" s="114"/>
      <c r="J502" s="114"/>
      <c r="K502" s="114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  <c r="AA502" s="187"/>
      <c r="AB502" s="187"/>
      <c r="AC502" s="187"/>
      <c r="AD502" s="187"/>
    </row>
    <row r="503">
      <c r="A503" s="114"/>
      <c r="B503" s="114"/>
      <c r="C503" s="114"/>
      <c r="D503" s="113"/>
      <c r="E503" s="114"/>
      <c r="F503" s="114"/>
      <c r="G503" s="114"/>
      <c r="H503" s="114"/>
      <c r="I503" s="114"/>
      <c r="J503" s="114"/>
      <c r="K503" s="114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  <c r="AA503" s="187"/>
      <c r="AB503" s="187"/>
      <c r="AC503" s="187"/>
      <c r="AD503" s="187"/>
    </row>
    <row r="504">
      <c r="A504" s="114"/>
      <c r="B504" s="114"/>
      <c r="C504" s="114"/>
      <c r="D504" s="113"/>
      <c r="E504" s="114"/>
      <c r="F504" s="114"/>
      <c r="G504" s="114"/>
      <c r="H504" s="114"/>
      <c r="I504" s="114"/>
      <c r="J504" s="114"/>
      <c r="K504" s="114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  <c r="AA504" s="187"/>
      <c r="AB504" s="187"/>
      <c r="AC504" s="187"/>
      <c r="AD504" s="187"/>
    </row>
    <row r="505">
      <c r="A505" s="114"/>
      <c r="B505" s="114"/>
      <c r="C505" s="114"/>
      <c r="D505" s="113"/>
      <c r="E505" s="114"/>
      <c r="F505" s="114"/>
      <c r="G505" s="114"/>
      <c r="H505" s="114"/>
      <c r="I505" s="114"/>
      <c r="J505" s="114"/>
      <c r="K505" s="114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  <c r="AA505" s="187"/>
      <c r="AB505" s="187"/>
      <c r="AC505" s="187"/>
      <c r="AD505" s="187"/>
    </row>
    <row r="506">
      <c r="A506" s="114"/>
      <c r="B506" s="114"/>
      <c r="C506" s="114"/>
      <c r="D506" s="113"/>
      <c r="E506" s="114"/>
      <c r="F506" s="114"/>
      <c r="G506" s="114"/>
      <c r="H506" s="114"/>
      <c r="I506" s="114"/>
      <c r="J506" s="114"/>
      <c r="K506" s="114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  <c r="AA506" s="187"/>
      <c r="AB506" s="187"/>
      <c r="AC506" s="187"/>
      <c r="AD506" s="187"/>
    </row>
    <row r="507">
      <c r="A507" s="114"/>
      <c r="B507" s="114"/>
      <c r="C507" s="114"/>
      <c r="D507" s="113"/>
      <c r="E507" s="114"/>
      <c r="F507" s="114"/>
      <c r="G507" s="114"/>
      <c r="H507" s="114"/>
      <c r="I507" s="114"/>
      <c r="J507" s="114"/>
      <c r="K507" s="114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  <c r="AA507" s="187"/>
      <c r="AB507" s="187"/>
      <c r="AC507" s="187"/>
      <c r="AD507" s="187"/>
    </row>
    <row r="508">
      <c r="A508" s="114"/>
      <c r="B508" s="114"/>
      <c r="C508" s="114"/>
      <c r="D508" s="113"/>
      <c r="E508" s="114"/>
      <c r="F508" s="114"/>
      <c r="G508" s="114"/>
      <c r="H508" s="114"/>
      <c r="I508" s="114"/>
      <c r="J508" s="114"/>
      <c r="K508" s="114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  <c r="AA508" s="187"/>
      <c r="AB508" s="187"/>
      <c r="AC508" s="187"/>
      <c r="AD508" s="187"/>
    </row>
    <row r="509">
      <c r="A509" s="114"/>
      <c r="B509" s="114"/>
      <c r="C509" s="114"/>
      <c r="D509" s="113"/>
      <c r="E509" s="114"/>
      <c r="F509" s="114"/>
      <c r="G509" s="114"/>
      <c r="H509" s="114"/>
      <c r="I509" s="114"/>
      <c r="J509" s="114"/>
      <c r="K509" s="114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  <c r="AA509" s="187"/>
      <c r="AB509" s="187"/>
      <c r="AC509" s="187"/>
      <c r="AD509" s="187"/>
    </row>
    <row r="510">
      <c r="A510" s="114"/>
      <c r="B510" s="114"/>
      <c r="C510" s="114"/>
      <c r="D510" s="113"/>
      <c r="E510" s="114"/>
      <c r="F510" s="114"/>
      <c r="G510" s="114"/>
      <c r="H510" s="114"/>
      <c r="I510" s="114"/>
      <c r="J510" s="114"/>
      <c r="K510" s="114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  <c r="AA510" s="187"/>
      <c r="AB510" s="187"/>
      <c r="AC510" s="187"/>
      <c r="AD510" s="187"/>
    </row>
    <row r="511">
      <c r="A511" s="114"/>
      <c r="B511" s="114"/>
      <c r="C511" s="114"/>
      <c r="D511" s="113"/>
      <c r="E511" s="114"/>
      <c r="F511" s="114"/>
      <c r="G511" s="114"/>
      <c r="H511" s="114"/>
      <c r="I511" s="114"/>
      <c r="J511" s="114"/>
      <c r="K511" s="114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  <c r="AA511" s="187"/>
      <c r="AB511" s="187"/>
      <c r="AC511" s="187"/>
      <c r="AD511" s="187"/>
    </row>
    <row r="512">
      <c r="A512" s="114"/>
      <c r="B512" s="114"/>
      <c r="C512" s="114"/>
      <c r="D512" s="113"/>
      <c r="E512" s="114"/>
      <c r="F512" s="114"/>
      <c r="G512" s="114"/>
      <c r="H512" s="114"/>
      <c r="I512" s="114"/>
      <c r="J512" s="114"/>
      <c r="K512" s="114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  <c r="AA512" s="187"/>
      <c r="AB512" s="187"/>
      <c r="AC512" s="187"/>
      <c r="AD512" s="187"/>
    </row>
    <row r="513">
      <c r="A513" s="114"/>
      <c r="B513" s="114"/>
      <c r="C513" s="114"/>
      <c r="D513" s="113"/>
      <c r="E513" s="114"/>
      <c r="F513" s="114"/>
      <c r="G513" s="114"/>
      <c r="H513" s="114"/>
      <c r="I513" s="114"/>
      <c r="J513" s="114"/>
      <c r="K513" s="114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  <c r="AA513" s="187"/>
      <c r="AB513" s="187"/>
      <c r="AC513" s="187"/>
      <c r="AD513" s="187"/>
    </row>
    <row r="514">
      <c r="A514" s="114"/>
      <c r="B514" s="114"/>
      <c r="C514" s="114"/>
      <c r="D514" s="113"/>
      <c r="E514" s="114"/>
      <c r="F514" s="114"/>
      <c r="G514" s="114"/>
      <c r="H514" s="114"/>
      <c r="I514" s="114"/>
      <c r="J514" s="114"/>
      <c r="K514" s="114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  <c r="AA514" s="187"/>
      <c r="AB514" s="187"/>
      <c r="AC514" s="187"/>
      <c r="AD514" s="187"/>
    </row>
    <row r="515">
      <c r="A515" s="114"/>
      <c r="B515" s="114"/>
      <c r="C515" s="114"/>
      <c r="D515" s="113"/>
      <c r="E515" s="114"/>
      <c r="F515" s="114"/>
      <c r="G515" s="114"/>
      <c r="H515" s="114"/>
      <c r="I515" s="114"/>
      <c r="J515" s="114"/>
      <c r="K515" s="114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  <c r="AA515" s="187"/>
      <c r="AB515" s="187"/>
      <c r="AC515" s="187"/>
      <c r="AD515" s="187"/>
    </row>
    <row r="516">
      <c r="A516" s="114"/>
      <c r="B516" s="114"/>
      <c r="C516" s="114"/>
      <c r="D516" s="113"/>
      <c r="E516" s="114"/>
      <c r="F516" s="114"/>
      <c r="G516" s="114"/>
      <c r="H516" s="114"/>
      <c r="I516" s="114"/>
      <c r="J516" s="114"/>
      <c r="K516" s="114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  <c r="AA516" s="187"/>
      <c r="AB516" s="187"/>
      <c r="AC516" s="187"/>
      <c r="AD516" s="187"/>
    </row>
    <row r="517">
      <c r="A517" s="114"/>
      <c r="B517" s="114"/>
      <c r="C517" s="114"/>
      <c r="D517" s="113"/>
      <c r="E517" s="114"/>
      <c r="F517" s="114"/>
      <c r="G517" s="114"/>
      <c r="H517" s="114"/>
      <c r="I517" s="114"/>
      <c r="J517" s="114"/>
      <c r="K517" s="114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  <c r="AA517" s="187"/>
      <c r="AB517" s="187"/>
      <c r="AC517" s="187"/>
      <c r="AD517" s="187"/>
    </row>
    <row r="518">
      <c r="A518" s="114"/>
      <c r="B518" s="114"/>
      <c r="C518" s="114"/>
      <c r="D518" s="113"/>
      <c r="E518" s="114"/>
      <c r="F518" s="114"/>
      <c r="G518" s="114"/>
      <c r="H518" s="114"/>
      <c r="I518" s="114"/>
      <c r="J518" s="114"/>
      <c r="K518" s="114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  <c r="AA518" s="187"/>
      <c r="AB518" s="187"/>
      <c r="AC518" s="187"/>
      <c r="AD518" s="187"/>
    </row>
    <row r="519">
      <c r="A519" s="114"/>
      <c r="B519" s="114"/>
      <c r="C519" s="114"/>
      <c r="D519" s="113"/>
      <c r="E519" s="114"/>
      <c r="F519" s="114"/>
      <c r="G519" s="114"/>
      <c r="H519" s="114"/>
      <c r="I519" s="114"/>
      <c r="J519" s="114"/>
      <c r="K519" s="114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  <c r="AA519" s="187"/>
      <c r="AB519" s="187"/>
      <c r="AC519" s="187"/>
      <c r="AD519" s="187"/>
    </row>
    <row r="520">
      <c r="A520" s="114"/>
      <c r="B520" s="114"/>
      <c r="C520" s="114"/>
      <c r="D520" s="113"/>
      <c r="E520" s="114"/>
      <c r="F520" s="114"/>
      <c r="G520" s="114"/>
      <c r="H520" s="114"/>
      <c r="I520" s="114"/>
      <c r="J520" s="114"/>
      <c r="K520" s="114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  <c r="AA520" s="187"/>
      <c r="AB520" s="187"/>
      <c r="AC520" s="187"/>
      <c r="AD520" s="187"/>
    </row>
    <row r="521">
      <c r="A521" s="114"/>
      <c r="B521" s="114"/>
      <c r="C521" s="114"/>
      <c r="D521" s="113"/>
      <c r="E521" s="114"/>
      <c r="F521" s="114"/>
      <c r="G521" s="114"/>
      <c r="H521" s="114"/>
      <c r="I521" s="114"/>
      <c r="J521" s="114"/>
      <c r="K521" s="114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  <c r="AA521" s="187"/>
      <c r="AB521" s="187"/>
      <c r="AC521" s="187"/>
      <c r="AD521" s="187"/>
    </row>
    <row r="522">
      <c r="A522" s="114"/>
      <c r="B522" s="114"/>
      <c r="C522" s="114"/>
      <c r="D522" s="113"/>
      <c r="E522" s="114"/>
      <c r="F522" s="114"/>
      <c r="G522" s="114"/>
      <c r="H522" s="114"/>
      <c r="I522" s="114"/>
      <c r="J522" s="114"/>
      <c r="K522" s="114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  <c r="AA522" s="187"/>
      <c r="AB522" s="187"/>
      <c r="AC522" s="187"/>
      <c r="AD522" s="187"/>
    </row>
    <row r="523">
      <c r="A523" s="114"/>
      <c r="B523" s="114"/>
      <c r="C523" s="114"/>
      <c r="D523" s="113"/>
      <c r="E523" s="114"/>
      <c r="F523" s="114"/>
      <c r="G523" s="114"/>
      <c r="H523" s="114"/>
      <c r="I523" s="114"/>
      <c r="J523" s="114"/>
      <c r="K523" s="114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  <c r="AA523" s="187"/>
      <c r="AB523" s="187"/>
      <c r="AC523" s="187"/>
      <c r="AD523" s="187"/>
    </row>
    <row r="524">
      <c r="A524" s="114"/>
      <c r="B524" s="114"/>
      <c r="C524" s="114"/>
      <c r="D524" s="113"/>
      <c r="E524" s="114"/>
      <c r="F524" s="114"/>
      <c r="G524" s="114"/>
      <c r="H524" s="114"/>
      <c r="I524" s="114"/>
      <c r="J524" s="114"/>
      <c r="K524" s="114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  <c r="AA524" s="187"/>
      <c r="AB524" s="187"/>
      <c r="AC524" s="187"/>
      <c r="AD524" s="187"/>
    </row>
    <row r="525">
      <c r="A525" s="114"/>
      <c r="B525" s="114"/>
      <c r="C525" s="114"/>
      <c r="D525" s="113"/>
      <c r="E525" s="114"/>
      <c r="F525" s="114"/>
      <c r="G525" s="114"/>
      <c r="H525" s="114"/>
      <c r="I525" s="114"/>
      <c r="J525" s="114"/>
      <c r="K525" s="114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  <c r="AA525" s="187"/>
      <c r="AB525" s="187"/>
      <c r="AC525" s="187"/>
      <c r="AD525" s="187"/>
    </row>
    <row r="526">
      <c r="A526" s="114"/>
      <c r="B526" s="114"/>
      <c r="C526" s="114"/>
      <c r="D526" s="113"/>
      <c r="E526" s="114"/>
      <c r="F526" s="114"/>
      <c r="G526" s="114"/>
      <c r="H526" s="114"/>
      <c r="I526" s="114"/>
      <c r="J526" s="114"/>
      <c r="K526" s="114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  <c r="AA526" s="187"/>
      <c r="AB526" s="187"/>
      <c r="AC526" s="187"/>
      <c r="AD526" s="187"/>
    </row>
    <row r="527">
      <c r="A527" s="114"/>
      <c r="B527" s="114"/>
      <c r="C527" s="114"/>
      <c r="D527" s="113"/>
      <c r="E527" s="114"/>
      <c r="F527" s="114"/>
      <c r="G527" s="114"/>
      <c r="H527" s="114"/>
      <c r="I527" s="114"/>
      <c r="J527" s="114"/>
      <c r="K527" s="114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  <c r="AA527" s="187"/>
      <c r="AB527" s="187"/>
      <c r="AC527" s="187"/>
      <c r="AD527" s="187"/>
    </row>
    <row r="528">
      <c r="A528" s="114"/>
      <c r="B528" s="114"/>
      <c r="C528" s="114"/>
      <c r="D528" s="113"/>
      <c r="E528" s="114"/>
      <c r="F528" s="114"/>
      <c r="G528" s="114"/>
      <c r="H528" s="114"/>
      <c r="I528" s="114"/>
      <c r="J528" s="114"/>
      <c r="K528" s="114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  <c r="AA528" s="187"/>
      <c r="AB528" s="187"/>
      <c r="AC528" s="187"/>
      <c r="AD528" s="187"/>
    </row>
    <row r="529">
      <c r="A529" s="114"/>
      <c r="B529" s="114"/>
      <c r="C529" s="114"/>
      <c r="D529" s="113"/>
      <c r="E529" s="114"/>
      <c r="F529" s="114"/>
      <c r="G529" s="114"/>
      <c r="H529" s="114"/>
      <c r="I529" s="114"/>
      <c r="J529" s="114"/>
      <c r="K529" s="114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  <c r="AA529" s="187"/>
      <c r="AB529" s="187"/>
      <c r="AC529" s="187"/>
      <c r="AD529" s="187"/>
    </row>
    <row r="530">
      <c r="A530" s="114"/>
      <c r="B530" s="114"/>
      <c r="C530" s="114"/>
      <c r="D530" s="113"/>
      <c r="E530" s="114"/>
      <c r="F530" s="114"/>
      <c r="G530" s="114"/>
      <c r="H530" s="114"/>
      <c r="I530" s="114"/>
      <c r="J530" s="114"/>
      <c r="K530" s="114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  <c r="AA530" s="187"/>
      <c r="AB530" s="187"/>
      <c r="AC530" s="187"/>
      <c r="AD530" s="187"/>
    </row>
    <row r="531">
      <c r="A531" s="114"/>
      <c r="B531" s="114"/>
      <c r="C531" s="114"/>
      <c r="D531" s="113"/>
      <c r="E531" s="114"/>
      <c r="F531" s="114"/>
      <c r="G531" s="114"/>
      <c r="H531" s="114"/>
      <c r="I531" s="114"/>
      <c r="J531" s="114"/>
      <c r="K531" s="114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  <c r="AA531" s="187"/>
      <c r="AB531" s="187"/>
      <c r="AC531" s="187"/>
      <c r="AD531" s="187"/>
    </row>
    <row r="532">
      <c r="A532" s="114"/>
      <c r="B532" s="114"/>
      <c r="C532" s="114"/>
      <c r="D532" s="113"/>
      <c r="E532" s="114"/>
      <c r="F532" s="114"/>
      <c r="G532" s="114"/>
      <c r="H532" s="114"/>
      <c r="I532" s="114"/>
      <c r="J532" s="114"/>
      <c r="K532" s="114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  <c r="AA532" s="187"/>
      <c r="AB532" s="187"/>
      <c r="AC532" s="187"/>
      <c r="AD532" s="187"/>
    </row>
    <row r="533">
      <c r="A533" s="114"/>
      <c r="B533" s="114"/>
      <c r="C533" s="114"/>
      <c r="D533" s="113"/>
      <c r="E533" s="114"/>
      <c r="F533" s="114"/>
      <c r="G533" s="114"/>
      <c r="H533" s="114"/>
      <c r="I533" s="114"/>
      <c r="J533" s="114"/>
      <c r="K533" s="114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  <c r="AA533" s="187"/>
      <c r="AB533" s="187"/>
      <c r="AC533" s="187"/>
      <c r="AD533" s="187"/>
    </row>
    <row r="534">
      <c r="A534" s="114"/>
      <c r="B534" s="114"/>
      <c r="C534" s="114"/>
      <c r="D534" s="113"/>
      <c r="E534" s="114"/>
      <c r="F534" s="114"/>
      <c r="G534" s="114"/>
      <c r="H534" s="114"/>
      <c r="I534" s="114"/>
      <c r="J534" s="114"/>
      <c r="K534" s="114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  <c r="AA534" s="187"/>
      <c r="AB534" s="187"/>
      <c r="AC534" s="187"/>
      <c r="AD534" s="187"/>
    </row>
    <row r="535">
      <c r="A535" s="114"/>
      <c r="B535" s="114"/>
      <c r="C535" s="114"/>
      <c r="D535" s="113"/>
      <c r="E535" s="114"/>
      <c r="F535" s="114"/>
      <c r="G535" s="114"/>
      <c r="H535" s="114"/>
      <c r="I535" s="114"/>
      <c r="J535" s="114"/>
      <c r="K535" s="114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  <c r="AA535" s="187"/>
      <c r="AB535" s="187"/>
      <c r="AC535" s="187"/>
      <c r="AD535" s="187"/>
    </row>
    <row r="536">
      <c r="A536" s="114"/>
      <c r="B536" s="114"/>
      <c r="C536" s="114"/>
      <c r="D536" s="113"/>
      <c r="E536" s="114"/>
      <c r="F536" s="114"/>
      <c r="G536" s="114"/>
      <c r="H536" s="114"/>
      <c r="I536" s="114"/>
      <c r="J536" s="114"/>
      <c r="K536" s="114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  <c r="AA536" s="187"/>
      <c r="AB536" s="187"/>
      <c r="AC536" s="187"/>
      <c r="AD536" s="187"/>
    </row>
    <row r="537">
      <c r="A537" s="114"/>
      <c r="B537" s="114"/>
      <c r="C537" s="114"/>
      <c r="D537" s="113"/>
      <c r="E537" s="114"/>
      <c r="F537" s="114"/>
      <c r="G537" s="114"/>
      <c r="H537" s="114"/>
      <c r="I537" s="114"/>
      <c r="J537" s="114"/>
      <c r="K537" s="114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  <c r="AA537" s="187"/>
      <c r="AB537" s="187"/>
      <c r="AC537" s="187"/>
      <c r="AD537" s="187"/>
    </row>
    <row r="538">
      <c r="A538" s="114"/>
      <c r="B538" s="114"/>
      <c r="C538" s="114"/>
      <c r="D538" s="113"/>
      <c r="E538" s="114"/>
      <c r="F538" s="114"/>
      <c r="G538" s="114"/>
      <c r="H538" s="114"/>
      <c r="I538" s="114"/>
      <c r="J538" s="114"/>
      <c r="K538" s="114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  <c r="AA538" s="187"/>
      <c r="AB538" s="187"/>
      <c r="AC538" s="187"/>
      <c r="AD538" s="187"/>
    </row>
    <row r="539">
      <c r="A539" s="114"/>
      <c r="B539" s="114"/>
      <c r="C539" s="114"/>
      <c r="D539" s="113"/>
      <c r="E539" s="114"/>
      <c r="F539" s="114"/>
      <c r="G539" s="114"/>
      <c r="H539" s="114"/>
      <c r="I539" s="114"/>
      <c r="J539" s="114"/>
      <c r="K539" s="114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  <c r="AA539" s="187"/>
      <c r="AB539" s="187"/>
      <c r="AC539" s="187"/>
      <c r="AD539" s="187"/>
    </row>
    <row r="540">
      <c r="A540" s="114"/>
      <c r="B540" s="114"/>
      <c r="C540" s="114"/>
      <c r="D540" s="113"/>
      <c r="E540" s="114"/>
      <c r="F540" s="114"/>
      <c r="G540" s="114"/>
      <c r="H540" s="114"/>
      <c r="I540" s="114"/>
      <c r="J540" s="114"/>
      <c r="K540" s="114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  <c r="AA540" s="187"/>
      <c r="AB540" s="187"/>
      <c r="AC540" s="187"/>
      <c r="AD540" s="187"/>
    </row>
    <row r="541">
      <c r="A541" s="114"/>
      <c r="B541" s="114"/>
      <c r="C541" s="114"/>
      <c r="D541" s="113"/>
      <c r="E541" s="114"/>
      <c r="F541" s="114"/>
      <c r="G541" s="114"/>
      <c r="H541" s="114"/>
      <c r="I541" s="114"/>
      <c r="J541" s="114"/>
      <c r="K541" s="114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  <c r="AA541" s="187"/>
      <c r="AB541" s="187"/>
      <c r="AC541" s="187"/>
      <c r="AD541" s="187"/>
    </row>
    <row r="542">
      <c r="A542" s="114"/>
      <c r="B542" s="114"/>
      <c r="C542" s="114"/>
      <c r="D542" s="113"/>
      <c r="E542" s="114"/>
      <c r="F542" s="114"/>
      <c r="G542" s="114"/>
      <c r="H542" s="114"/>
      <c r="I542" s="114"/>
      <c r="J542" s="114"/>
      <c r="K542" s="114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  <c r="AA542" s="187"/>
      <c r="AB542" s="187"/>
      <c r="AC542" s="187"/>
      <c r="AD542" s="187"/>
    </row>
    <row r="543">
      <c r="A543" s="114"/>
      <c r="B543" s="114"/>
      <c r="C543" s="114"/>
      <c r="D543" s="113"/>
      <c r="E543" s="114"/>
      <c r="F543" s="114"/>
      <c r="G543" s="114"/>
      <c r="H543" s="114"/>
      <c r="I543" s="114"/>
      <c r="J543" s="114"/>
      <c r="K543" s="114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  <c r="AA543" s="187"/>
      <c r="AB543" s="187"/>
      <c r="AC543" s="187"/>
      <c r="AD543" s="187"/>
    </row>
    <row r="544">
      <c r="A544" s="114"/>
      <c r="B544" s="114"/>
      <c r="C544" s="114"/>
      <c r="D544" s="113"/>
      <c r="E544" s="114"/>
      <c r="F544" s="114"/>
      <c r="G544" s="114"/>
      <c r="H544" s="114"/>
      <c r="I544" s="114"/>
      <c r="J544" s="114"/>
      <c r="K544" s="114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  <c r="AA544" s="187"/>
      <c r="AB544" s="187"/>
      <c r="AC544" s="187"/>
      <c r="AD544" s="187"/>
    </row>
    <row r="545">
      <c r="A545" s="114"/>
      <c r="B545" s="114"/>
      <c r="C545" s="114"/>
      <c r="D545" s="113"/>
      <c r="E545" s="114"/>
      <c r="F545" s="114"/>
      <c r="G545" s="114"/>
      <c r="H545" s="114"/>
      <c r="I545" s="114"/>
      <c r="J545" s="114"/>
      <c r="K545" s="114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  <c r="AA545" s="187"/>
      <c r="AB545" s="187"/>
      <c r="AC545" s="187"/>
      <c r="AD545" s="187"/>
    </row>
    <row r="546">
      <c r="A546" s="114"/>
      <c r="B546" s="114"/>
      <c r="C546" s="114"/>
      <c r="D546" s="113"/>
      <c r="E546" s="114"/>
      <c r="F546" s="114"/>
      <c r="G546" s="114"/>
      <c r="H546" s="114"/>
      <c r="I546" s="114"/>
      <c r="J546" s="114"/>
      <c r="K546" s="114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  <c r="AA546" s="187"/>
      <c r="AB546" s="187"/>
      <c r="AC546" s="187"/>
      <c r="AD546" s="187"/>
    </row>
    <row r="547">
      <c r="A547" s="114"/>
      <c r="B547" s="114"/>
      <c r="C547" s="114"/>
      <c r="D547" s="113"/>
      <c r="E547" s="114"/>
      <c r="F547" s="114"/>
      <c r="G547" s="114"/>
      <c r="H547" s="114"/>
      <c r="I547" s="114"/>
      <c r="J547" s="114"/>
      <c r="K547" s="114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  <c r="AA547" s="187"/>
      <c r="AB547" s="187"/>
      <c r="AC547" s="187"/>
      <c r="AD547" s="187"/>
    </row>
    <row r="548">
      <c r="A548" s="114"/>
      <c r="B548" s="114"/>
      <c r="C548" s="114"/>
      <c r="D548" s="113"/>
      <c r="E548" s="114"/>
      <c r="F548" s="114"/>
      <c r="G548" s="114"/>
      <c r="H548" s="114"/>
      <c r="I548" s="114"/>
      <c r="J548" s="114"/>
      <c r="K548" s="114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  <c r="AA548" s="187"/>
      <c r="AB548" s="187"/>
      <c r="AC548" s="187"/>
      <c r="AD548" s="187"/>
    </row>
    <row r="549">
      <c r="A549" s="114"/>
      <c r="B549" s="114"/>
      <c r="C549" s="114"/>
      <c r="D549" s="113"/>
      <c r="E549" s="114"/>
      <c r="F549" s="114"/>
      <c r="G549" s="114"/>
      <c r="H549" s="114"/>
      <c r="I549" s="114"/>
      <c r="J549" s="114"/>
      <c r="K549" s="114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  <c r="AA549" s="187"/>
      <c r="AB549" s="187"/>
      <c r="AC549" s="187"/>
      <c r="AD549" s="187"/>
    </row>
    <row r="550">
      <c r="A550" s="114"/>
      <c r="B550" s="114"/>
      <c r="C550" s="114"/>
      <c r="D550" s="113"/>
      <c r="E550" s="114"/>
      <c r="F550" s="114"/>
      <c r="G550" s="114"/>
      <c r="H550" s="114"/>
      <c r="I550" s="114"/>
      <c r="J550" s="114"/>
      <c r="K550" s="114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  <c r="AA550" s="187"/>
      <c r="AB550" s="187"/>
      <c r="AC550" s="187"/>
      <c r="AD550" s="187"/>
    </row>
    <row r="551">
      <c r="A551" s="114"/>
      <c r="B551" s="114"/>
      <c r="C551" s="114"/>
      <c r="D551" s="113"/>
      <c r="E551" s="114"/>
      <c r="F551" s="114"/>
      <c r="G551" s="114"/>
      <c r="H551" s="114"/>
      <c r="I551" s="114"/>
      <c r="J551" s="114"/>
      <c r="K551" s="114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  <c r="AA551" s="187"/>
      <c r="AB551" s="187"/>
      <c r="AC551" s="187"/>
      <c r="AD551" s="187"/>
    </row>
    <row r="552">
      <c r="A552" s="114"/>
      <c r="B552" s="114"/>
      <c r="C552" s="114"/>
      <c r="D552" s="113"/>
      <c r="E552" s="114"/>
      <c r="F552" s="114"/>
      <c r="G552" s="114"/>
      <c r="H552" s="114"/>
      <c r="I552" s="114"/>
      <c r="J552" s="114"/>
      <c r="K552" s="114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  <c r="AA552" s="187"/>
      <c r="AB552" s="187"/>
      <c r="AC552" s="187"/>
      <c r="AD552" s="187"/>
    </row>
    <row r="553">
      <c r="A553" s="114"/>
      <c r="B553" s="114"/>
      <c r="C553" s="114"/>
      <c r="D553" s="113"/>
      <c r="E553" s="114"/>
      <c r="F553" s="114"/>
      <c r="G553" s="114"/>
      <c r="H553" s="114"/>
      <c r="I553" s="114"/>
      <c r="J553" s="114"/>
      <c r="K553" s="114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  <c r="AA553" s="187"/>
      <c r="AB553" s="187"/>
      <c r="AC553" s="187"/>
      <c r="AD553" s="187"/>
    </row>
    <row r="554">
      <c r="A554" s="114"/>
      <c r="B554" s="114"/>
      <c r="C554" s="114"/>
      <c r="D554" s="113"/>
      <c r="E554" s="114"/>
      <c r="F554" s="114"/>
      <c r="G554" s="114"/>
      <c r="H554" s="114"/>
      <c r="I554" s="114"/>
      <c r="J554" s="114"/>
      <c r="K554" s="114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  <c r="AA554" s="187"/>
      <c r="AB554" s="187"/>
      <c r="AC554" s="187"/>
      <c r="AD554" s="187"/>
    </row>
    <row r="555">
      <c r="A555" s="114"/>
      <c r="B555" s="114"/>
      <c r="C555" s="114"/>
      <c r="D555" s="113"/>
      <c r="E555" s="114"/>
      <c r="F555" s="114"/>
      <c r="G555" s="114"/>
      <c r="H555" s="114"/>
      <c r="I555" s="114"/>
      <c r="J555" s="114"/>
      <c r="K555" s="114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  <c r="AA555" s="187"/>
      <c r="AB555" s="187"/>
      <c r="AC555" s="187"/>
      <c r="AD555" s="187"/>
    </row>
    <row r="556">
      <c r="A556" s="114"/>
      <c r="B556" s="114"/>
      <c r="C556" s="114"/>
      <c r="D556" s="113"/>
      <c r="E556" s="114"/>
      <c r="F556" s="114"/>
      <c r="G556" s="114"/>
      <c r="H556" s="114"/>
      <c r="I556" s="114"/>
      <c r="J556" s="114"/>
      <c r="K556" s="114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  <c r="AA556" s="187"/>
      <c r="AB556" s="187"/>
      <c r="AC556" s="187"/>
      <c r="AD556" s="187"/>
    </row>
    <row r="557">
      <c r="A557" s="114"/>
      <c r="B557" s="114"/>
      <c r="C557" s="114"/>
      <c r="D557" s="113"/>
      <c r="E557" s="114"/>
      <c r="F557" s="114"/>
      <c r="G557" s="114"/>
      <c r="H557" s="114"/>
      <c r="I557" s="114"/>
      <c r="J557" s="114"/>
      <c r="K557" s="114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  <c r="AA557" s="187"/>
      <c r="AB557" s="187"/>
      <c r="AC557" s="187"/>
      <c r="AD557" s="187"/>
    </row>
    <row r="558">
      <c r="A558" s="114"/>
      <c r="B558" s="114"/>
      <c r="C558" s="114"/>
      <c r="D558" s="113"/>
      <c r="E558" s="114"/>
      <c r="F558" s="114"/>
      <c r="G558" s="114"/>
      <c r="H558" s="114"/>
      <c r="I558" s="114"/>
      <c r="J558" s="114"/>
      <c r="K558" s="114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  <c r="AA558" s="187"/>
      <c r="AB558" s="187"/>
      <c r="AC558" s="187"/>
      <c r="AD558" s="187"/>
    </row>
    <row r="559">
      <c r="A559" s="114"/>
      <c r="B559" s="114"/>
      <c r="C559" s="114"/>
      <c r="D559" s="113"/>
      <c r="E559" s="114"/>
      <c r="F559" s="114"/>
      <c r="G559" s="114"/>
      <c r="H559" s="114"/>
      <c r="I559" s="114"/>
      <c r="J559" s="114"/>
      <c r="K559" s="114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  <c r="AA559" s="187"/>
      <c r="AB559" s="187"/>
      <c r="AC559" s="187"/>
      <c r="AD559" s="187"/>
    </row>
    <row r="560">
      <c r="A560" s="114"/>
      <c r="B560" s="114"/>
      <c r="C560" s="114"/>
      <c r="D560" s="113"/>
      <c r="E560" s="114"/>
      <c r="F560" s="114"/>
      <c r="G560" s="114"/>
      <c r="H560" s="114"/>
      <c r="I560" s="114"/>
      <c r="J560" s="114"/>
      <c r="K560" s="114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  <c r="AA560" s="187"/>
      <c r="AB560" s="187"/>
      <c r="AC560" s="187"/>
      <c r="AD560" s="187"/>
    </row>
    <row r="561">
      <c r="A561" s="114"/>
      <c r="B561" s="114"/>
      <c r="C561" s="114"/>
      <c r="D561" s="113"/>
      <c r="E561" s="114"/>
      <c r="F561" s="114"/>
      <c r="G561" s="114"/>
      <c r="H561" s="114"/>
      <c r="I561" s="114"/>
      <c r="J561" s="114"/>
      <c r="K561" s="114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  <c r="AA561" s="187"/>
      <c r="AB561" s="187"/>
      <c r="AC561" s="187"/>
      <c r="AD561" s="187"/>
    </row>
    <row r="562">
      <c r="A562" s="114"/>
      <c r="B562" s="114"/>
      <c r="C562" s="114"/>
      <c r="D562" s="113"/>
      <c r="E562" s="114"/>
      <c r="F562" s="114"/>
      <c r="G562" s="114"/>
      <c r="H562" s="114"/>
      <c r="I562" s="114"/>
      <c r="J562" s="114"/>
      <c r="K562" s="114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  <c r="AA562" s="187"/>
      <c r="AB562" s="187"/>
      <c r="AC562" s="187"/>
      <c r="AD562" s="187"/>
    </row>
    <row r="563">
      <c r="A563" s="114"/>
      <c r="B563" s="114"/>
      <c r="C563" s="114"/>
      <c r="D563" s="113"/>
      <c r="E563" s="114"/>
      <c r="F563" s="114"/>
      <c r="G563" s="114"/>
      <c r="H563" s="114"/>
      <c r="I563" s="114"/>
      <c r="J563" s="114"/>
      <c r="K563" s="114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  <c r="AA563" s="187"/>
      <c r="AB563" s="187"/>
      <c r="AC563" s="187"/>
      <c r="AD563" s="187"/>
    </row>
    <row r="564">
      <c r="A564" s="114"/>
      <c r="B564" s="114"/>
      <c r="C564" s="114"/>
      <c r="D564" s="113"/>
      <c r="E564" s="114"/>
      <c r="F564" s="114"/>
      <c r="G564" s="114"/>
      <c r="H564" s="114"/>
      <c r="I564" s="114"/>
      <c r="J564" s="114"/>
      <c r="K564" s="114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  <c r="AA564" s="187"/>
      <c r="AB564" s="187"/>
      <c r="AC564" s="187"/>
      <c r="AD564" s="187"/>
    </row>
    <row r="565">
      <c r="A565" s="114"/>
      <c r="B565" s="114"/>
      <c r="C565" s="114"/>
      <c r="D565" s="113"/>
      <c r="E565" s="114"/>
      <c r="F565" s="114"/>
      <c r="G565" s="114"/>
      <c r="H565" s="114"/>
      <c r="I565" s="114"/>
      <c r="J565" s="114"/>
      <c r="K565" s="114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  <c r="AA565" s="187"/>
      <c r="AB565" s="187"/>
      <c r="AC565" s="187"/>
      <c r="AD565" s="187"/>
    </row>
    <row r="566">
      <c r="A566" s="114"/>
      <c r="B566" s="114"/>
      <c r="C566" s="114"/>
      <c r="D566" s="113"/>
      <c r="E566" s="114"/>
      <c r="F566" s="114"/>
      <c r="G566" s="114"/>
      <c r="H566" s="114"/>
      <c r="I566" s="114"/>
      <c r="J566" s="114"/>
      <c r="K566" s="114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  <c r="AA566" s="187"/>
      <c r="AB566" s="187"/>
      <c r="AC566" s="187"/>
      <c r="AD566" s="187"/>
    </row>
    <row r="567">
      <c r="A567" s="114"/>
      <c r="B567" s="114"/>
      <c r="C567" s="114"/>
      <c r="D567" s="113"/>
      <c r="E567" s="114"/>
      <c r="F567" s="114"/>
      <c r="G567" s="114"/>
      <c r="H567" s="114"/>
      <c r="I567" s="114"/>
      <c r="J567" s="114"/>
      <c r="K567" s="114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  <c r="AA567" s="187"/>
      <c r="AB567" s="187"/>
      <c r="AC567" s="187"/>
      <c r="AD567" s="187"/>
    </row>
    <row r="568">
      <c r="A568" s="114"/>
      <c r="B568" s="114"/>
      <c r="C568" s="114"/>
      <c r="D568" s="113"/>
      <c r="E568" s="114"/>
      <c r="F568" s="114"/>
      <c r="G568" s="114"/>
      <c r="H568" s="114"/>
      <c r="I568" s="114"/>
      <c r="J568" s="114"/>
      <c r="K568" s="114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  <c r="AA568" s="187"/>
      <c r="AB568" s="187"/>
      <c r="AC568" s="187"/>
      <c r="AD568" s="187"/>
    </row>
    <row r="569">
      <c r="A569" s="114"/>
      <c r="B569" s="114"/>
      <c r="C569" s="114"/>
      <c r="D569" s="113"/>
      <c r="E569" s="114"/>
      <c r="F569" s="114"/>
      <c r="G569" s="114"/>
      <c r="H569" s="114"/>
      <c r="I569" s="114"/>
      <c r="J569" s="114"/>
      <c r="K569" s="114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  <c r="AA569" s="187"/>
      <c r="AB569" s="187"/>
      <c r="AC569" s="187"/>
      <c r="AD569" s="187"/>
    </row>
    <row r="570">
      <c r="A570" s="114"/>
      <c r="B570" s="114"/>
      <c r="C570" s="114"/>
      <c r="D570" s="113"/>
      <c r="E570" s="114"/>
      <c r="F570" s="114"/>
      <c r="G570" s="114"/>
      <c r="H570" s="114"/>
      <c r="I570" s="114"/>
      <c r="J570" s="114"/>
      <c r="K570" s="114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  <c r="AA570" s="187"/>
      <c r="AB570" s="187"/>
      <c r="AC570" s="187"/>
      <c r="AD570" s="187"/>
    </row>
    <row r="571">
      <c r="A571" s="114"/>
      <c r="B571" s="114"/>
      <c r="C571" s="114"/>
      <c r="D571" s="113"/>
      <c r="E571" s="114"/>
      <c r="F571" s="114"/>
      <c r="G571" s="114"/>
      <c r="H571" s="114"/>
      <c r="I571" s="114"/>
      <c r="J571" s="114"/>
      <c r="K571" s="114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  <c r="AA571" s="187"/>
      <c r="AB571" s="187"/>
      <c r="AC571" s="187"/>
      <c r="AD571" s="187"/>
    </row>
    <row r="572">
      <c r="A572" s="114"/>
      <c r="B572" s="114"/>
      <c r="C572" s="114"/>
      <c r="D572" s="113"/>
      <c r="E572" s="114"/>
      <c r="F572" s="114"/>
      <c r="G572" s="114"/>
      <c r="H572" s="114"/>
      <c r="I572" s="114"/>
      <c r="J572" s="114"/>
      <c r="K572" s="114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  <c r="AA572" s="187"/>
      <c r="AB572" s="187"/>
      <c r="AC572" s="187"/>
      <c r="AD572" s="187"/>
    </row>
    <row r="573">
      <c r="A573" s="114"/>
      <c r="B573" s="114"/>
      <c r="C573" s="114"/>
      <c r="D573" s="113"/>
      <c r="E573" s="114"/>
      <c r="F573" s="114"/>
      <c r="G573" s="114"/>
      <c r="H573" s="114"/>
      <c r="I573" s="114"/>
      <c r="J573" s="114"/>
      <c r="K573" s="114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  <c r="AA573" s="187"/>
      <c r="AB573" s="187"/>
      <c r="AC573" s="187"/>
      <c r="AD573" s="187"/>
    </row>
    <row r="574">
      <c r="A574" s="114"/>
      <c r="B574" s="114"/>
      <c r="C574" s="114"/>
      <c r="D574" s="113"/>
      <c r="E574" s="114"/>
      <c r="F574" s="114"/>
      <c r="G574" s="114"/>
      <c r="H574" s="114"/>
      <c r="I574" s="114"/>
      <c r="J574" s="114"/>
      <c r="K574" s="114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  <c r="AA574" s="187"/>
      <c r="AB574" s="187"/>
      <c r="AC574" s="187"/>
      <c r="AD574" s="187"/>
    </row>
    <row r="575">
      <c r="A575" s="114"/>
      <c r="B575" s="114"/>
      <c r="C575" s="114"/>
      <c r="D575" s="113"/>
      <c r="E575" s="114"/>
      <c r="F575" s="114"/>
      <c r="G575" s="114"/>
      <c r="H575" s="114"/>
      <c r="I575" s="114"/>
      <c r="J575" s="114"/>
      <c r="K575" s="114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  <c r="AA575" s="187"/>
      <c r="AB575" s="187"/>
      <c r="AC575" s="187"/>
      <c r="AD575" s="187"/>
    </row>
    <row r="576">
      <c r="A576" s="114"/>
      <c r="B576" s="114"/>
      <c r="C576" s="114"/>
      <c r="D576" s="113"/>
      <c r="E576" s="114"/>
      <c r="F576" s="114"/>
      <c r="G576" s="114"/>
      <c r="H576" s="114"/>
      <c r="I576" s="114"/>
      <c r="J576" s="114"/>
      <c r="K576" s="114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  <c r="AA576" s="187"/>
      <c r="AB576" s="187"/>
      <c r="AC576" s="187"/>
      <c r="AD576" s="187"/>
    </row>
    <row r="577">
      <c r="A577" s="114"/>
      <c r="B577" s="114"/>
      <c r="C577" s="114"/>
      <c r="D577" s="113"/>
      <c r="E577" s="114"/>
      <c r="F577" s="114"/>
      <c r="G577" s="114"/>
      <c r="H577" s="114"/>
      <c r="I577" s="114"/>
      <c r="J577" s="114"/>
      <c r="K577" s="114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  <c r="AA577" s="187"/>
      <c r="AB577" s="187"/>
      <c r="AC577" s="187"/>
      <c r="AD577" s="187"/>
    </row>
    <row r="578">
      <c r="A578" s="114"/>
      <c r="B578" s="114"/>
      <c r="C578" s="114"/>
      <c r="D578" s="113"/>
      <c r="E578" s="114"/>
      <c r="F578" s="114"/>
      <c r="G578" s="114"/>
      <c r="H578" s="114"/>
      <c r="I578" s="114"/>
      <c r="J578" s="114"/>
      <c r="K578" s="114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  <c r="AA578" s="187"/>
      <c r="AB578" s="187"/>
      <c r="AC578" s="187"/>
      <c r="AD578" s="187"/>
    </row>
    <row r="579">
      <c r="A579" s="114"/>
      <c r="B579" s="114"/>
      <c r="C579" s="114"/>
      <c r="D579" s="113"/>
      <c r="E579" s="114"/>
      <c r="F579" s="114"/>
      <c r="G579" s="114"/>
      <c r="H579" s="114"/>
      <c r="I579" s="114"/>
      <c r="J579" s="114"/>
      <c r="K579" s="114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  <c r="AA579" s="187"/>
      <c r="AB579" s="187"/>
      <c r="AC579" s="187"/>
      <c r="AD579" s="187"/>
    </row>
    <row r="580">
      <c r="A580" s="114"/>
      <c r="B580" s="114"/>
      <c r="C580" s="114"/>
      <c r="D580" s="113"/>
      <c r="E580" s="114"/>
      <c r="F580" s="114"/>
      <c r="G580" s="114"/>
      <c r="H580" s="114"/>
      <c r="I580" s="114"/>
      <c r="J580" s="114"/>
      <c r="K580" s="114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  <c r="AA580" s="187"/>
      <c r="AB580" s="187"/>
      <c r="AC580" s="187"/>
      <c r="AD580" s="187"/>
    </row>
    <row r="581">
      <c r="A581" s="114"/>
      <c r="B581" s="114"/>
      <c r="C581" s="114"/>
      <c r="D581" s="113"/>
      <c r="E581" s="114"/>
      <c r="F581" s="114"/>
      <c r="G581" s="114"/>
      <c r="H581" s="114"/>
      <c r="I581" s="114"/>
      <c r="J581" s="114"/>
      <c r="K581" s="114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  <c r="AA581" s="187"/>
      <c r="AB581" s="187"/>
      <c r="AC581" s="187"/>
      <c r="AD581" s="187"/>
    </row>
    <row r="582">
      <c r="A582" s="114"/>
      <c r="B582" s="114"/>
      <c r="C582" s="114"/>
      <c r="D582" s="113"/>
      <c r="E582" s="114"/>
      <c r="F582" s="114"/>
      <c r="G582" s="114"/>
      <c r="H582" s="114"/>
      <c r="I582" s="114"/>
      <c r="J582" s="114"/>
      <c r="K582" s="114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  <c r="AA582" s="187"/>
      <c r="AB582" s="187"/>
      <c r="AC582" s="187"/>
      <c r="AD582" s="187"/>
    </row>
    <row r="583">
      <c r="A583" s="114"/>
      <c r="B583" s="114"/>
      <c r="C583" s="114"/>
      <c r="D583" s="113"/>
      <c r="E583" s="114"/>
      <c r="F583" s="114"/>
      <c r="G583" s="114"/>
      <c r="H583" s="114"/>
      <c r="I583" s="114"/>
      <c r="J583" s="114"/>
      <c r="K583" s="114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  <c r="AA583" s="187"/>
      <c r="AB583" s="187"/>
      <c r="AC583" s="187"/>
      <c r="AD583" s="187"/>
    </row>
    <row r="584">
      <c r="A584" s="114"/>
      <c r="B584" s="114"/>
      <c r="C584" s="114"/>
      <c r="D584" s="113"/>
      <c r="E584" s="114"/>
      <c r="F584" s="114"/>
      <c r="G584" s="114"/>
      <c r="H584" s="114"/>
      <c r="I584" s="114"/>
      <c r="J584" s="114"/>
      <c r="K584" s="114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  <c r="AA584" s="187"/>
      <c r="AB584" s="187"/>
      <c r="AC584" s="187"/>
      <c r="AD584" s="187"/>
    </row>
    <row r="585">
      <c r="A585" s="114"/>
      <c r="B585" s="114"/>
      <c r="C585" s="114"/>
      <c r="D585" s="113"/>
      <c r="E585" s="114"/>
      <c r="F585" s="114"/>
      <c r="G585" s="114"/>
      <c r="H585" s="114"/>
      <c r="I585" s="114"/>
      <c r="J585" s="114"/>
      <c r="K585" s="114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  <c r="AA585" s="187"/>
      <c r="AB585" s="187"/>
      <c r="AC585" s="187"/>
      <c r="AD585" s="187"/>
    </row>
    <row r="586">
      <c r="A586" s="114"/>
      <c r="B586" s="114"/>
      <c r="C586" s="114"/>
      <c r="D586" s="113"/>
      <c r="E586" s="114"/>
      <c r="F586" s="114"/>
      <c r="G586" s="114"/>
      <c r="H586" s="114"/>
      <c r="I586" s="114"/>
      <c r="J586" s="114"/>
      <c r="K586" s="114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  <c r="AA586" s="187"/>
      <c r="AB586" s="187"/>
      <c r="AC586" s="187"/>
      <c r="AD586" s="187"/>
    </row>
    <row r="587">
      <c r="A587" s="114"/>
      <c r="B587" s="114"/>
      <c r="C587" s="114"/>
      <c r="D587" s="113"/>
      <c r="E587" s="114"/>
      <c r="F587" s="114"/>
      <c r="G587" s="114"/>
      <c r="H587" s="114"/>
      <c r="I587" s="114"/>
      <c r="J587" s="114"/>
      <c r="K587" s="114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  <c r="AA587" s="187"/>
      <c r="AB587" s="187"/>
      <c r="AC587" s="187"/>
      <c r="AD587" s="187"/>
    </row>
    <row r="588">
      <c r="A588" s="114"/>
      <c r="B588" s="114"/>
      <c r="C588" s="114"/>
      <c r="D588" s="113"/>
      <c r="E588" s="114"/>
      <c r="F588" s="114"/>
      <c r="G588" s="114"/>
      <c r="H588" s="114"/>
      <c r="I588" s="114"/>
      <c r="J588" s="114"/>
      <c r="K588" s="114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  <c r="AA588" s="187"/>
      <c r="AB588" s="187"/>
      <c r="AC588" s="187"/>
      <c r="AD588" s="187"/>
    </row>
    <row r="589">
      <c r="A589" s="114"/>
      <c r="B589" s="114"/>
      <c r="C589" s="114"/>
      <c r="D589" s="113"/>
      <c r="E589" s="114"/>
      <c r="F589" s="114"/>
      <c r="G589" s="114"/>
      <c r="H589" s="114"/>
      <c r="I589" s="114"/>
      <c r="J589" s="114"/>
      <c r="K589" s="114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  <c r="AA589" s="187"/>
      <c r="AB589" s="187"/>
      <c r="AC589" s="187"/>
      <c r="AD589" s="187"/>
    </row>
    <row r="590">
      <c r="A590" s="114"/>
      <c r="B590" s="114"/>
      <c r="C590" s="114"/>
      <c r="D590" s="113"/>
      <c r="E590" s="114"/>
      <c r="F590" s="114"/>
      <c r="G590" s="114"/>
      <c r="H590" s="114"/>
      <c r="I590" s="114"/>
      <c r="J590" s="114"/>
      <c r="K590" s="114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  <c r="AA590" s="187"/>
      <c r="AB590" s="187"/>
      <c r="AC590" s="187"/>
      <c r="AD590" s="187"/>
    </row>
    <row r="591">
      <c r="A591" s="114"/>
      <c r="B591" s="114"/>
      <c r="C591" s="114"/>
      <c r="D591" s="113"/>
      <c r="E591" s="114"/>
      <c r="F591" s="114"/>
      <c r="G591" s="114"/>
      <c r="H591" s="114"/>
      <c r="I591" s="114"/>
      <c r="J591" s="114"/>
      <c r="K591" s="114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  <c r="AA591" s="187"/>
      <c r="AB591" s="187"/>
      <c r="AC591" s="187"/>
      <c r="AD591" s="187"/>
    </row>
    <row r="592">
      <c r="A592" s="114"/>
      <c r="B592" s="114"/>
      <c r="C592" s="114"/>
      <c r="D592" s="113"/>
      <c r="E592" s="114"/>
      <c r="F592" s="114"/>
      <c r="G592" s="114"/>
      <c r="H592" s="114"/>
      <c r="I592" s="114"/>
      <c r="J592" s="114"/>
      <c r="K592" s="114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  <c r="AA592" s="187"/>
      <c r="AB592" s="187"/>
      <c r="AC592" s="187"/>
      <c r="AD592" s="187"/>
    </row>
    <row r="593">
      <c r="A593" s="114"/>
      <c r="B593" s="114"/>
      <c r="C593" s="114"/>
      <c r="D593" s="113"/>
      <c r="E593" s="114"/>
      <c r="F593" s="114"/>
      <c r="G593" s="114"/>
      <c r="H593" s="114"/>
      <c r="I593" s="114"/>
      <c r="J593" s="114"/>
      <c r="K593" s="114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  <c r="AA593" s="187"/>
      <c r="AB593" s="187"/>
      <c r="AC593" s="187"/>
      <c r="AD593" s="187"/>
    </row>
    <row r="594">
      <c r="A594" s="114"/>
      <c r="B594" s="114"/>
      <c r="C594" s="114"/>
      <c r="D594" s="113"/>
      <c r="E594" s="114"/>
      <c r="F594" s="114"/>
      <c r="G594" s="114"/>
      <c r="H594" s="114"/>
      <c r="I594" s="114"/>
      <c r="J594" s="114"/>
      <c r="K594" s="114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  <c r="AA594" s="187"/>
      <c r="AB594" s="187"/>
      <c r="AC594" s="187"/>
      <c r="AD594" s="187"/>
    </row>
    <row r="595">
      <c r="A595" s="114"/>
      <c r="B595" s="114"/>
      <c r="C595" s="114"/>
      <c r="D595" s="113"/>
      <c r="E595" s="114"/>
      <c r="F595" s="114"/>
      <c r="G595" s="114"/>
      <c r="H595" s="114"/>
      <c r="I595" s="114"/>
      <c r="J595" s="114"/>
      <c r="K595" s="114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  <c r="AA595" s="187"/>
      <c r="AB595" s="187"/>
      <c r="AC595" s="187"/>
      <c r="AD595" s="187"/>
    </row>
    <row r="596">
      <c r="A596" s="114"/>
      <c r="B596" s="114"/>
      <c r="C596" s="114"/>
      <c r="D596" s="113"/>
      <c r="E596" s="114"/>
      <c r="F596" s="114"/>
      <c r="G596" s="114"/>
      <c r="H596" s="114"/>
      <c r="I596" s="114"/>
      <c r="J596" s="114"/>
      <c r="K596" s="114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  <c r="AA596" s="187"/>
      <c r="AB596" s="187"/>
      <c r="AC596" s="187"/>
      <c r="AD596" s="187"/>
    </row>
    <row r="597">
      <c r="A597" s="114"/>
      <c r="B597" s="114"/>
      <c r="C597" s="114"/>
      <c r="D597" s="113"/>
      <c r="E597" s="114"/>
      <c r="F597" s="114"/>
      <c r="G597" s="114"/>
      <c r="H597" s="114"/>
      <c r="I597" s="114"/>
      <c r="J597" s="114"/>
      <c r="K597" s="114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  <c r="AA597" s="187"/>
      <c r="AB597" s="187"/>
      <c r="AC597" s="187"/>
      <c r="AD597" s="187"/>
    </row>
    <row r="598">
      <c r="A598" s="114"/>
      <c r="B598" s="114"/>
      <c r="C598" s="114"/>
      <c r="D598" s="113"/>
      <c r="E598" s="114"/>
      <c r="F598" s="114"/>
      <c r="G598" s="114"/>
      <c r="H598" s="114"/>
      <c r="I598" s="114"/>
      <c r="J598" s="114"/>
      <c r="K598" s="114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  <c r="AA598" s="187"/>
      <c r="AB598" s="187"/>
      <c r="AC598" s="187"/>
      <c r="AD598" s="187"/>
    </row>
    <row r="599">
      <c r="A599" s="114"/>
      <c r="B599" s="114"/>
      <c r="C599" s="114"/>
      <c r="D599" s="113"/>
      <c r="E599" s="114"/>
      <c r="F599" s="114"/>
      <c r="G599" s="114"/>
      <c r="H599" s="114"/>
      <c r="I599" s="114"/>
      <c r="J599" s="114"/>
      <c r="K599" s="114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  <c r="AA599" s="187"/>
      <c r="AB599" s="187"/>
      <c r="AC599" s="187"/>
      <c r="AD599" s="187"/>
    </row>
    <row r="600">
      <c r="A600" s="114"/>
      <c r="B600" s="114"/>
      <c r="C600" s="114"/>
      <c r="D600" s="113"/>
      <c r="E600" s="114"/>
      <c r="F600" s="114"/>
      <c r="G600" s="114"/>
      <c r="H600" s="114"/>
      <c r="I600" s="114"/>
      <c r="J600" s="114"/>
      <c r="K600" s="114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  <c r="AA600" s="187"/>
      <c r="AB600" s="187"/>
      <c r="AC600" s="187"/>
      <c r="AD600" s="187"/>
    </row>
    <row r="601">
      <c r="A601" s="114"/>
      <c r="B601" s="114"/>
      <c r="C601" s="114"/>
      <c r="D601" s="113"/>
      <c r="E601" s="114"/>
      <c r="F601" s="114"/>
      <c r="G601" s="114"/>
      <c r="H601" s="114"/>
      <c r="I601" s="114"/>
      <c r="J601" s="114"/>
      <c r="K601" s="114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  <c r="AA601" s="187"/>
      <c r="AB601" s="187"/>
      <c r="AC601" s="187"/>
      <c r="AD601" s="187"/>
    </row>
    <row r="602">
      <c r="A602" s="114"/>
      <c r="B602" s="114"/>
      <c r="C602" s="114"/>
      <c r="D602" s="113"/>
      <c r="E602" s="114"/>
      <c r="F602" s="114"/>
      <c r="G602" s="114"/>
      <c r="H602" s="114"/>
      <c r="I602" s="114"/>
      <c r="J602" s="114"/>
      <c r="K602" s="114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  <c r="AA602" s="187"/>
      <c r="AB602" s="187"/>
      <c r="AC602" s="187"/>
      <c r="AD602" s="187"/>
    </row>
    <row r="603">
      <c r="A603" s="114"/>
      <c r="B603" s="114"/>
      <c r="C603" s="114"/>
      <c r="D603" s="113"/>
      <c r="E603" s="114"/>
      <c r="F603" s="114"/>
      <c r="G603" s="114"/>
      <c r="H603" s="114"/>
      <c r="I603" s="114"/>
      <c r="J603" s="114"/>
      <c r="K603" s="114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  <c r="AA603" s="187"/>
      <c r="AB603" s="187"/>
      <c r="AC603" s="187"/>
      <c r="AD603" s="187"/>
    </row>
    <row r="604">
      <c r="A604" s="114"/>
      <c r="B604" s="114"/>
      <c r="C604" s="114"/>
      <c r="D604" s="113"/>
      <c r="E604" s="114"/>
      <c r="F604" s="114"/>
      <c r="G604" s="114"/>
      <c r="H604" s="114"/>
      <c r="I604" s="114"/>
      <c r="J604" s="114"/>
      <c r="K604" s="114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  <c r="AA604" s="187"/>
      <c r="AB604" s="187"/>
      <c r="AC604" s="187"/>
      <c r="AD604" s="187"/>
    </row>
    <row r="605">
      <c r="A605" s="114"/>
      <c r="B605" s="114"/>
      <c r="C605" s="114"/>
      <c r="D605" s="113"/>
      <c r="E605" s="114"/>
      <c r="F605" s="114"/>
      <c r="G605" s="114"/>
      <c r="H605" s="114"/>
      <c r="I605" s="114"/>
      <c r="J605" s="114"/>
      <c r="K605" s="114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  <c r="AA605" s="187"/>
      <c r="AB605" s="187"/>
      <c r="AC605" s="187"/>
      <c r="AD605" s="187"/>
    </row>
    <row r="606">
      <c r="A606" s="114"/>
      <c r="B606" s="114"/>
      <c r="C606" s="114"/>
      <c r="D606" s="113"/>
      <c r="E606" s="114"/>
      <c r="F606" s="114"/>
      <c r="G606" s="114"/>
      <c r="H606" s="114"/>
      <c r="I606" s="114"/>
      <c r="J606" s="114"/>
      <c r="K606" s="114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  <c r="AA606" s="187"/>
      <c r="AB606" s="187"/>
      <c r="AC606" s="187"/>
      <c r="AD606" s="187"/>
    </row>
    <row r="607">
      <c r="A607" s="114"/>
      <c r="B607" s="114"/>
      <c r="C607" s="114"/>
      <c r="D607" s="113"/>
      <c r="E607" s="114"/>
      <c r="F607" s="114"/>
      <c r="G607" s="114"/>
      <c r="H607" s="114"/>
      <c r="I607" s="114"/>
      <c r="J607" s="114"/>
      <c r="K607" s="114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  <c r="AA607" s="187"/>
      <c r="AB607" s="187"/>
      <c r="AC607" s="187"/>
      <c r="AD607" s="187"/>
    </row>
    <row r="608">
      <c r="A608" s="114"/>
      <c r="B608" s="114"/>
      <c r="C608" s="114"/>
      <c r="D608" s="113"/>
      <c r="E608" s="114"/>
      <c r="F608" s="114"/>
      <c r="G608" s="114"/>
      <c r="H608" s="114"/>
      <c r="I608" s="114"/>
      <c r="J608" s="114"/>
      <c r="K608" s="114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  <c r="AA608" s="187"/>
      <c r="AB608" s="187"/>
      <c r="AC608" s="187"/>
      <c r="AD608" s="187"/>
    </row>
    <row r="609">
      <c r="A609" s="114"/>
      <c r="B609" s="114"/>
      <c r="C609" s="114"/>
      <c r="D609" s="113"/>
      <c r="E609" s="114"/>
      <c r="F609" s="114"/>
      <c r="G609" s="114"/>
      <c r="H609" s="114"/>
      <c r="I609" s="114"/>
      <c r="J609" s="114"/>
      <c r="K609" s="114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  <c r="AA609" s="187"/>
      <c r="AB609" s="187"/>
      <c r="AC609" s="187"/>
      <c r="AD609" s="187"/>
    </row>
    <row r="610">
      <c r="A610" s="114"/>
      <c r="B610" s="114"/>
      <c r="C610" s="114"/>
      <c r="D610" s="113"/>
      <c r="E610" s="114"/>
      <c r="F610" s="114"/>
      <c r="G610" s="114"/>
      <c r="H610" s="114"/>
      <c r="I610" s="114"/>
      <c r="J610" s="114"/>
      <c r="K610" s="114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  <c r="AA610" s="187"/>
      <c r="AB610" s="187"/>
      <c r="AC610" s="187"/>
      <c r="AD610" s="187"/>
    </row>
    <row r="611">
      <c r="A611" s="114"/>
      <c r="B611" s="114"/>
      <c r="C611" s="114"/>
      <c r="D611" s="113"/>
      <c r="E611" s="114"/>
      <c r="F611" s="114"/>
      <c r="G611" s="114"/>
      <c r="H611" s="114"/>
      <c r="I611" s="114"/>
      <c r="J611" s="114"/>
      <c r="K611" s="114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  <c r="AA611" s="187"/>
      <c r="AB611" s="187"/>
      <c r="AC611" s="187"/>
      <c r="AD611" s="187"/>
    </row>
    <row r="612">
      <c r="A612" s="114"/>
      <c r="B612" s="114"/>
      <c r="C612" s="114"/>
      <c r="D612" s="113"/>
      <c r="E612" s="114"/>
      <c r="F612" s="114"/>
      <c r="G612" s="114"/>
      <c r="H612" s="114"/>
      <c r="I612" s="114"/>
      <c r="J612" s="114"/>
      <c r="K612" s="114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  <c r="AA612" s="187"/>
      <c r="AB612" s="187"/>
      <c r="AC612" s="187"/>
      <c r="AD612" s="187"/>
    </row>
    <row r="613">
      <c r="A613" s="114"/>
      <c r="B613" s="114"/>
      <c r="C613" s="114"/>
      <c r="D613" s="113"/>
      <c r="E613" s="114"/>
      <c r="F613" s="114"/>
      <c r="G613" s="114"/>
      <c r="H613" s="114"/>
      <c r="I613" s="114"/>
      <c r="J613" s="114"/>
      <c r="K613" s="114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  <c r="AA613" s="187"/>
      <c r="AB613" s="187"/>
      <c r="AC613" s="187"/>
      <c r="AD613" s="187"/>
    </row>
    <row r="614">
      <c r="A614" s="114"/>
      <c r="B614" s="114"/>
      <c r="C614" s="114"/>
      <c r="D614" s="113"/>
      <c r="E614" s="114"/>
      <c r="F614" s="114"/>
      <c r="G614" s="114"/>
      <c r="H614" s="114"/>
      <c r="I614" s="114"/>
      <c r="J614" s="114"/>
      <c r="K614" s="114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  <c r="AA614" s="187"/>
      <c r="AB614" s="187"/>
      <c r="AC614" s="187"/>
      <c r="AD614" s="187"/>
    </row>
    <row r="615">
      <c r="A615" s="114"/>
      <c r="B615" s="114"/>
      <c r="C615" s="114"/>
      <c r="D615" s="113"/>
      <c r="E615" s="114"/>
      <c r="F615" s="114"/>
      <c r="G615" s="114"/>
      <c r="H615" s="114"/>
      <c r="I615" s="114"/>
      <c r="J615" s="114"/>
      <c r="K615" s="114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  <c r="AA615" s="187"/>
      <c r="AB615" s="187"/>
      <c r="AC615" s="187"/>
      <c r="AD615" s="187"/>
    </row>
    <row r="616">
      <c r="A616" s="114"/>
      <c r="B616" s="114"/>
      <c r="C616" s="114"/>
      <c r="D616" s="113"/>
      <c r="E616" s="114"/>
      <c r="F616" s="114"/>
      <c r="G616" s="114"/>
      <c r="H616" s="114"/>
      <c r="I616" s="114"/>
      <c r="J616" s="114"/>
      <c r="K616" s="114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  <c r="AA616" s="187"/>
      <c r="AB616" s="187"/>
      <c r="AC616" s="187"/>
      <c r="AD616" s="187"/>
    </row>
    <row r="617">
      <c r="A617" s="114"/>
      <c r="B617" s="114"/>
      <c r="C617" s="114"/>
      <c r="D617" s="113"/>
      <c r="E617" s="114"/>
      <c r="F617" s="114"/>
      <c r="G617" s="114"/>
      <c r="H617" s="114"/>
      <c r="I617" s="114"/>
      <c r="J617" s="114"/>
      <c r="K617" s="114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  <c r="AA617" s="187"/>
      <c r="AB617" s="187"/>
      <c r="AC617" s="187"/>
      <c r="AD617" s="187"/>
    </row>
    <row r="618">
      <c r="A618" s="114"/>
      <c r="B618" s="114"/>
      <c r="C618" s="114"/>
      <c r="D618" s="113"/>
      <c r="E618" s="114"/>
      <c r="F618" s="114"/>
      <c r="G618" s="114"/>
      <c r="H618" s="114"/>
      <c r="I618" s="114"/>
      <c r="J618" s="114"/>
      <c r="K618" s="114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  <c r="AA618" s="187"/>
      <c r="AB618" s="187"/>
      <c r="AC618" s="187"/>
      <c r="AD618" s="187"/>
    </row>
    <row r="619">
      <c r="A619" s="114"/>
      <c r="B619" s="114"/>
      <c r="C619" s="114"/>
      <c r="D619" s="113"/>
      <c r="E619" s="114"/>
      <c r="F619" s="114"/>
      <c r="G619" s="114"/>
      <c r="H619" s="114"/>
      <c r="I619" s="114"/>
      <c r="J619" s="114"/>
      <c r="K619" s="114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  <c r="AA619" s="187"/>
      <c r="AB619" s="187"/>
      <c r="AC619" s="187"/>
      <c r="AD619" s="187"/>
    </row>
    <row r="620">
      <c r="A620" s="114"/>
      <c r="B620" s="114"/>
      <c r="C620" s="114"/>
      <c r="D620" s="113"/>
      <c r="E620" s="114"/>
      <c r="F620" s="114"/>
      <c r="G620" s="114"/>
      <c r="H620" s="114"/>
      <c r="I620" s="114"/>
      <c r="J620" s="114"/>
      <c r="K620" s="114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  <c r="AA620" s="187"/>
      <c r="AB620" s="187"/>
      <c r="AC620" s="187"/>
      <c r="AD620" s="187"/>
    </row>
    <row r="621">
      <c r="A621" s="114"/>
      <c r="B621" s="114"/>
      <c r="C621" s="114"/>
      <c r="D621" s="113"/>
      <c r="E621" s="114"/>
      <c r="F621" s="114"/>
      <c r="G621" s="114"/>
      <c r="H621" s="114"/>
      <c r="I621" s="114"/>
      <c r="J621" s="114"/>
      <c r="K621" s="114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  <c r="AA621" s="187"/>
      <c r="AB621" s="187"/>
      <c r="AC621" s="187"/>
      <c r="AD621" s="187"/>
    </row>
    <row r="622">
      <c r="A622" s="114"/>
      <c r="B622" s="114"/>
      <c r="C622" s="114"/>
      <c r="D622" s="113"/>
      <c r="E622" s="114"/>
      <c r="F622" s="114"/>
      <c r="G622" s="114"/>
      <c r="H622" s="114"/>
      <c r="I622" s="114"/>
      <c r="J622" s="114"/>
      <c r="K622" s="114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  <c r="AA622" s="187"/>
      <c r="AB622" s="187"/>
      <c r="AC622" s="187"/>
      <c r="AD622" s="187"/>
    </row>
    <row r="623">
      <c r="A623" s="114"/>
      <c r="B623" s="114"/>
      <c r="C623" s="114"/>
      <c r="D623" s="113"/>
      <c r="E623" s="114"/>
      <c r="F623" s="114"/>
      <c r="G623" s="114"/>
      <c r="H623" s="114"/>
      <c r="I623" s="114"/>
      <c r="J623" s="114"/>
      <c r="K623" s="114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  <c r="AA623" s="187"/>
      <c r="AB623" s="187"/>
      <c r="AC623" s="187"/>
      <c r="AD623" s="187"/>
    </row>
    <row r="624">
      <c r="A624" s="114"/>
      <c r="B624" s="114"/>
      <c r="C624" s="114"/>
      <c r="D624" s="113"/>
      <c r="E624" s="114"/>
      <c r="F624" s="114"/>
      <c r="G624" s="114"/>
      <c r="H624" s="114"/>
      <c r="I624" s="114"/>
      <c r="J624" s="114"/>
      <c r="K624" s="114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  <c r="AA624" s="187"/>
      <c r="AB624" s="187"/>
      <c r="AC624" s="187"/>
      <c r="AD624" s="187"/>
    </row>
    <row r="625">
      <c r="A625" s="114"/>
      <c r="B625" s="114"/>
      <c r="C625" s="114"/>
      <c r="D625" s="113"/>
      <c r="E625" s="114"/>
      <c r="F625" s="114"/>
      <c r="G625" s="114"/>
      <c r="H625" s="114"/>
      <c r="I625" s="114"/>
      <c r="J625" s="114"/>
      <c r="K625" s="114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  <c r="AA625" s="187"/>
      <c r="AB625" s="187"/>
      <c r="AC625" s="187"/>
      <c r="AD625" s="187"/>
    </row>
    <row r="626">
      <c r="A626" s="114"/>
      <c r="B626" s="114"/>
      <c r="C626" s="114"/>
      <c r="D626" s="113"/>
      <c r="E626" s="114"/>
      <c r="F626" s="114"/>
      <c r="G626" s="114"/>
      <c r="H626" s="114"/>
      <c r="I626" s="114"/>
      <c r="J626" s="114"/>
      <c r="K626" s="114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  <c r="AA626" s="187"/>
      <c r="AB626" s="187"/>
      <c r="AC626" s="187"/>
      <c r="AD626" s="187"/>
    </row>
    <row r="627">
      <c r="A627" s="114"/>
      <c r="B627" s="114"/>
      <c r="C627" s="114"/>
      <c r="D627" s="113"/>
      <c r="E627" s="114"/>
      <c r="F627" s="114"/>
      <c r="G627" s="114"/>
      <c r="H627" s="114"/>
      <c r="I627" s="114"/>
      <c r="J627" s="114"/>
      <c r="K627" s="114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  <c r="AA627" s="187"/>
      <c r="AB627" s="187"/>
      <c r="AC627" s="187"/>
      <c r="AD627" s="187"/>
    </row>
    <row r="628">
      <c r="A628" s="114"/>
      <c r="B628" s="114"/>
      <c r="C628" s="114"/>
      <c r="D628" s="113"/>
      <c r="E628" s="114"/>
      <c r="F628" s="114"/>
      <c r="G628" s="114"/>
      <c r="H628" s="114"/>
      <c r="I628" s="114"/>
      <c r="J628" s="114"/>
      <c r="K628" s="114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  <c r="AA628" s="187"/>
      <c r="AB628" s="187"/>
      <c r="AC628" s="187"/>
      <c r="AD628" s="187"/>
    </row>
    <row r="629">
      <c r="A629" s="114"/>
      <c r="B629" s="114"/>
      <c r="C629" s="114"/>
      <c r="D629" s="113"/>
      <c r="E629" s="114"/>
      <c r="F629" s="114"/>
      <c r="G629" s="114"/>
      <c r="H629" s="114"/>
      <c r="I629" s="114"/>
      <c r="J629" s="114"/>
      <c r="K629" s="114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  <c r="AA629" s="187"/>
      <c r="AB629" s="187"/>
      <c r="AC629" s="187"/>
      <c r="AD629" s="187"/>
    </row>
    <row r="630">
      <c r="A630" s="114"/>
      <c r="B630" s="114"/>
      <c r="C630" s="114"/>
      <c r="D630" s="113"/>
      <c r="E630" s="114"/>
      <c r="F630" s="114"/>
      <c r="G630" s="114"/>
      <c r="H630" s="114"/>
      <c r="I630" s="114"/>
      <c r="J630" s="114"/>
      <c r="K630" s="114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  <c r="AA630" s="187"/>
      <c r="AB630" s="187"/>
      <c r="AC630" s="187"/>
      <c r="AD630" s="187"/>
    </row>
    <row r="631">
      <c r="A631" s="114"/>
      <c r="B631" s="114"/>
      <c r="C631" s="114"/>
      <c r="D631" s="113"/>
      <c r="E631" s="114"/>
      <c r="F631" s="114"/>
      <c r="G631" s="114"/>
      <c r="H631" s="114"/>
      <c r="I631" s="114"/>
      <c r="J631" s="114"/>
      <c r="K631" s="114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  <c r="AA631" s="187"/>
      <c r="AB631" s="187"/>
      <c r="AC631" s="187"/>
      <c r="AD631" s="187"/>
    </row>
    <row r="632">
      <c r="A632" s="114"/>
      <c r="B632" s="114"/>
      <c r="C632" s="114"/>
      <c r="D632" s="113"/>
      <c r="E632" s="114"/>
      <c r="F632" s="114"/>
      <c r="G632" s="114"/>
      <c r="H632" s="114"/>
      <c r="I632" s="114"/>
      <c r="J632" s="114"/>
      <c r="K632" s="114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  <c r="AA632" s="187"/>
      <c r="AB632" s="187"/>
      <c r="AC632" s="187"/>
      <c r="AD632" s="187"/>
    </row>
    <row r="633">
      <c r="A633" s="114"/>
      <c r="B633" s="114"/>
      <c r="C633" s="114"/>
      <c r="D633" s="113"/>
      <c r="E633" s="114"/>
      <c r="F633" s="114"/>
      <c r="G633" s="114"/>
      <c r="H633" s="114"/>
      <c r="I633" s="114"/>
      <c r="J633" s="114"/>
      <c r="K633" s="114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  <c r="AA633" s="187"/>
      <c r="AB633" s="187"/>
      <c r="AC633" s="187"/>
      <c r="AD633" s="187"/>
    </row>
    <row r="634">
      <c r="A634" s="114"/>
      <c r="B634" s="114"/>
      <c r="C634" s="114"/>
      <c r="D634" s="113"/>
      <c r="E634" s="114"/>
      <c r="F634" s="114"/>
      <c r="G634" s="114"/>
      <c r="H634" s="114"/>
      <c r="I634" s="114"/>
      <c r="J634" s="114"/>
      <c r="K634" s="114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  <c r="AA634" s="187"/>
      <c r="AB634" s="187"/>
      <c r="AC634" s="187"/>
      <c r="AD634" s="187"/>
    </row>
    <row r="635">
      <c r="A635" s="114"/>
      <c r="B635" s="114"/>
      <c r="C635" s="114"/>
      <c r="D635" s="113"/>
      <c r="E635" s="114"/>
      <c r="F635" s="114"/>
      <c r="G635" s="114"/>
      <c r="H635" s="114"/>
      <c r="I635" s="114"/>
      <c r="J635" s="114"/>
      <c r="K635" s="114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  <c r="AA635" s="187"/>
      <c r="AB635" s="187"/>
      <c r="AC635" s="187"/>
      <c r="AD635" s="187"/>
    </row>
    <row r="636">
      <c r="A636" s="114"/>
      <c r="B636" s="114"/>
      <c r="C636" s="114"/>
      <c r="D636" s="113"/>
      <c r="E636" s="114"/>
      <c r="F636" s="114"/>
      <c r="G636" s="114"/>
      <c r="H636" s="114"/>
      <c r="I636" s="114"/>
      <c r="J636" s="114"/>
      <c r="K636" s="114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  <c r="AA636" s="187"/>
      <c r="AB636" s="187"/>
      <c r="AC636" s="187"/>
      <c r="AD636" s="187"/>
    </row>
    <row r="637">
      <c r="A637" s="114"/>
      <c r="B637" s="114"/>
      <c r="C637" s="114"/>
      <c r="D637" s="113"/>
      <c r="E637" s="114"/>
      <c r="F637" s="114"/>
      <c r="G637" s="114"/>
      <c r="H637" s="114"/>
      <c r="I637" s="114"/>
      <c r="J637" s="114"/>
      <c r="K637" s="114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  <c r="AA637" s="187"/>
      <c r="AB637" s="187"/>
      <c r="AC637" s="187"/>
      <c r="AD637" s="187"/>
    </row>
    <row r="638">
      <c r="A638" s="114"/>
      <c r="B638" s="114"/>
      <c r="C638" s="114"/>
      <c r="D638" s="113"/>
      <c r="E638" s="114"/>
      <c r="F638" s="114"/>
      <c r="G638" s="114"/>
      <c r="H638" s="114"/>
      <c r="I638" s="114"/>
      <c r="J638" s="114"/>
      <c r="K638" s="114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  <c r="AA638" s="187"/>
      <c r="AB638" s="187"/>
      <c r="AC638" s="187"/>
      <c r="AD638" s="187"/>
    </row>
    <row r="639">
      <c r="A639" s="114"/>
      <c r="B639" s="114"/>
      <c r="C639" s="114"/>
      <c r="D639" s="113"/>
      <c r="E639" s="114"/>
      <c r="F639" s="114"/>
      <c r="G639" s="114"/>
      <c r="H639" s="114"/>
      <c r="I639" s="114"/>
      <c r="J639" s="114"/>
      <c r="K639" s="114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  <c r="AA639" s="187"/>
      <c r="AB639" s="187"/>
      <c r="AC639" s="187"/>
      <c r="AD639" s="187"/>
    </row>
    <row r="640">
      <c r="A640" s="114"/>
      <c r="B640" s="114"/>
      <c r="C640" s="114"/>
      <c r="D640" s="113"/>
      <c r="E640" s="114"/>
      <c r="F640" s="114"/>
      <c r="G640" s="114"/>
      <c r="H640" s="114"/>
      <c r="I640" s="114"/>
      <c r="J640" s="114"/>
      <c r="K640" s="114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  <c r="AA640" s="187"/>
      <c r="AB640" s="187"/>
      <c r="AC640" s="187"/>
      <c r="AD640" s="187"/>
    </row>
    <row r="641">
      <c r="A641" s="114"/>
      <c r="B641" s="114"/>
      <c r="C641" s="114"/>
      <c r="D641" s="113"/>
      <c r="E641" s="114"/>
      <c r="F641" s="114"/>
      <c r="G641" s="114"/>
      <c r="H641" s="114"/>
      <c r="I641" s="114"/>
      <c r="J641" s="114"/>
      <c r="K641" s="114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  <c r="AA641" s="187"/>
      <c r="AB641" s="187"/>
      <c r="AC641" s="187"/>
      <c r="AD641" s="187"/>
    </row>
    <row r="642">
      <c r="A642" s="114"/>
      <c r="B642" s="114"/>
      <c r="C642" s="114"/>
      <c r="D642" s="113"/>
      <c r="E642" s="114"/>
      <c r="F642" s="114"/>
      <c r="G642" s="114"/>
      <c r="H642" s="114"/>
      <c r="I642" s="114"/>
      <c r="J642" s="114"/>
      <c r="K642" s="114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  <c r="AA642" s="187"/>
      <c r="AB642" s="187"/>
      <c r="AC642" s="187"/>
      <c r="AD642" s="187"/>
    </row>
    <row r="643">
      <c r="A643" s="114"/>
      <c r="B643" s="114"/>
      <c r="C643" s="114"/>
      <c r="D643" s="113"/>
      <c r="E643" s="114"/>
      <c r="F643" s="114"/>
      <c r="G643" s="114"/>
      <c r="H643" s="114"/>
      <c r="I643" s="114"/>
      <c r="J643" s="114"/>
      <c r="K643" s="114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  <c r="AA643" s="187"/>
      <c r="AB643" s="187"/>
      <c r="AC643" s="187"/>
      <c r="AD643" s="187"/>
    </row>
    <row r="644">
      <c r="A644" s="114"/>
      <c r="B644" s="114"/>
      <c r="C644" s="114"/>
      <c r="D644" s="113"/>
      <c r="E644" s="114"/>
      <c r="F644" s="114"/>
      <c r="G644" s="114"/>
      <c r="H644" s="114"/>
      <c r="I644" s="114"/>
      <c r="J644" s="114"/>
      <c r="K644" s="114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  <c r="AA644" s="187"/>
      <c r="AB644" s="187"/>
      <c r="AC644" s="187"/>
      <c r="AD644" s="187"/>
    </row>
    <row r="645">
      <c r="A645" s="114"/>
      <c r="B645" s="114"/>
      <c r="C645" s="114"/>
      <c r="D645" s="113"/>
      <c r="E645" s="114"/>
      <c r="F645" s="114"/>
      <c r="G645" s="114"/>
      <c r="H645" s="114"/>
      <c r="I645" s="114"/>
      <c r="J645" s="114"/>
      <c r="K645" s="114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  <c r="AA645" s="187"/>
      <c r="AB645" s="187"/>
      <c r="AC645" s="187"/>
      <c r="AD645" s="187"/>
    </row>
    <row r="646">
      <c r="A646" s="114"/>
      <c r="B646" s="114"/>
      <c r="C646" s="114"/>
      <c r="D646" s="113"/>
      <c r="E646" s="114"/>
      <c r="F646" s="114"/>
      <c r="G646" s="114"/>
      <c r="H646" s="114"/>
      <c r="I646" s="114"/>
      <c r="J646" s="114"/>
      <c r="K646" s="114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  <c r="AA646" s="187"/>
      <c r="AB646" s="187"/>
      <c r="AC646" s="187"/>
      <c r="AD646" s="187"/>
    </row>
    <row r="647">
      <c r="A647" s="114"/>
      <c r="B647" s="114"/>
      <c r="C647" s="114"/>
      <c r="D647" s="113"/>
      <c r="E647" s="114"/>
      <c r="F647" s="114"/>
      <c r="G647" s="114"/>
      <c r="H647" s="114"/>
      <c r="I647" s="114"/>
      <c r="J647" s="114"/>
      <c r="K647" s="114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  <c r="AA647" s="187"/>
      <c r="AB647" s="187"/>
      <c r="AC647" s="187"/>
      <c r="AD647" s="187"/>
    </row>
    <row r="648">
      <c r="A648" s="114"/>
      <c r="B648" s="114"/>
      <c r="C648" s="114"/>
      <c r="D648" s="113"/>
      <c r="E648" s="114"/>
      <c r="F648" s="114"/>
      <c r="G648" s="114"/>
      <c r="H648" s="114"/>
      <c r="I648" s="114"/>
      <c r="J648" s="114"/>
      <c r="K648" s="114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  <c r="AA648" s="187"/>
      <c r="AB648" s="187"/>
      <c r="AC648" s="187"/>
      <c r="AD648" s="187"/>
    </row>
    <row r="649">
      <c r="A649" s="114"/>
      <c r="B649" s="114"/>
      <c r="C649" s="114"/>
      <c r="D649" s="113"/>
      <c r="E649" s="114"/>
      <c r="F649" s="114"/>
      <c r="G649" s="114"/>
      <c r="H649" s="114"/>
      <c r="I649" s="114"/>
      <c r="J649" s="114"/>
      <c r="K649" s="114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  <c r="AA649" s="187"/>
      <c r="AB649" s="187"/>
      <c r="AC649" s="187"/>
      <c r="AD649" s="187"/>
    </row>
    <row r="650">
      <c r="A650" s="114"/>
      <c r="B650" s="114"/>
      <c r="C650" s="114"/>
      <c r="D650" s="113"/>
      <c r="E650" s="114"/>
      <c r="F650" s="114"/>
      <c r="G650" s="114"/>
      <c r="H650" s="114"/>
      <c r="I650" s="114"/>
      <c r="J650" s="114"/>
      <c r="K650" s="114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  <c r="AA650" s="187"/>
      <c r="AB650" s="187"/>
      <c r="AC650" s="187"/>
      <c r="AD650" s="187"/>
    </row>
    <row r="651">
      <c r="A651" s="114"/>
      <c r="B651" s="114"/>
      <c r="C651" s="114"/>
      <c r="D651" s="113"/>
      <c r="E651" s="114"/>
      <c r="F651" s="114"/>
      <c r="G651" s="114"/>
      <c r="H651" s="114"/>
      <c r="I651" s="114"/>
      <c r="J651" s="114"/>
      <c r="K651" s="114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  <c r="AA651" s="187"/>
      <c r="AB651" s="187"/>
      <c r="AC651" s="187"/>
      <c r="AD651" s="187"/>
    </row>
    <row r="652">
      <c r="A652" s="114"/>
      <c r="B652" s="114"/>
      <c r="C652" s="114"/>
      <c r="D652" s="113"/>
      <c r="E652" s="114"/>
      <c r="F652" s="114"/>
      <c r="G652" s="114"/>
      <c r="H652" s="114"/>
      <c r="I652" s="114"/>
      <c r="J652" s="114"/>
      <c r="K652" s="114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  <c r="AA652" s="187"/>
      <c r="AB652" s="187"/>
      <c r="AC652" s="187"/>
      <c r="AD652" s="187"/>
    </row>
    <row r="653">
      <c r="A653" s="114"/>
      <c r="B653" s="114"/>
      <c r="C653" s="114"/>
      <c r="D653" s="113"/>
      <c r="E653" s="114"/>
      <c r="F653" s="114"/>
      <c r="G653" s="114"/>
      <c r="H653" s="114"/>
      <c r="I653" s="114"/>
      <c r="J653" s="114"/>
      <c r="K653" s="114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  <c r="AA653" s="187"/>
      <c r="AB653" s="187"/>
      <c r="AC653" s="187"/>
      <c r="AD653" s="187"/>
    </row>
    <row r="654">
      <c r="A654" s="114"/>
      <c r="B654" s="114"/>
      <c r="C654" s="114"/>
      <c r="D654" s="113"/>
      <c r="E654" s="114"/>
      <c r="F654" s="114"/>
      <c r="G654" s="114"/>
      <c r="H654" s="114"/>
      <c r="I654" s="114"/>
      <c r="J654" s="114"/>
      <c r="K654" s="114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  <c r="AA654" s="187"/>
      <c r="AB654" s="187"/>
      <c r="AC654" s="187"/>
      <c r="AD654" s="187"/>
    </row>
    <row r="655">
      <c r="A655" s="114"/>
      <c r="B655" s="114"/>
      <c r="C655" s="114"/>
      <c r="D655" s="113"/>
      <c r="E655" s="114"/>
      <c r="F655" s="114"/>
      <c r="G655" s="114"/>
      <c r="H655" s="114"/>
      <c r="I655" s="114"/>
      <c r="J655" s="114"/>
      <c r="K655" s="114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  <c r="AA655" s="187"/>
      <c r="AB655" s="187"/>
      <c r="AC655" s="187"/>
      <c r="AD655" s="187"/>
    </row>
    <row r="656">
      <c r="A656" s="114"/>
      <c r="B656" s="114"/>
      <c r="C656" s="114"/>
      <c r="D656" s="113"/>
      <c r="E656" s="114"/>
      <c r="F656" s="114"/>
      <c r="G656" s="114"/>
      <c r="H656" s="114"/>
      <c r="I656" s="114"/>
      <c r="J656" s="114"/>
      <c r="K656" s="114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  <c r="AA656" s="187"/>
      <c r="AB656" s="187"/>
      <c r="AC656" s="187"/>
      <c r="AD656" s="187"/>
    </row>
    <row r="657">
      <c r="A657" s="114"/>
      <c r="B657" s="114"/>
      <c r="C657" s="114"/>
      <c r="D657" s="113"/>
      <c r="E657" s="114"/>
      <c r="F657" s="114"/>
      <c r="G657" s="114"/>
      <c r="H657" s="114"/>
      <c r="I657" s="114"/>
      <c r="J657" s="114"/>
      <c r="K657" s="114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  <c r="AA657" s="187"/>
      <c r="AB657" s="187"/>
      <c r="AC657" s="187"/>
      <c r="AD657" s="187"/>
    </row>
    <row r="658">
      <c r="A658" s="114"/>
      <c r="B658" s="114"/>
      <c r="C658" s="114"/>
      <c r="D658" s="113"/>
      <c r="E658" s="114"/>
      <c r="F658" s="114"/>
      <c r="G658" s="114"/>
      <c r="H658" s="114"/>
      <c r="I658" s="114"/>
      <c r="J658" s="114"/>
      <c r="K658" s="114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  <c r="AA658" s="187"/>
      <c r="AB658" s="187"/>
      <c r="AC658" s="187"/>
      <c r="AD658" s="187"/>
    </row>
    <row r="659">
      <c r="A659" s="114"/>
      <c r="B659" s="114"/>
      <c r="C659" s="114"/>
      <c r="D659" s="113"/>
      <c r="E659" s="114"/>
      <c r="F659" s="114"/>
      <c r="G659" s="114"/>
      <c r="H659" s="114"/>
      <c r="I659" s="114"/>
      <c r="J659" s="114"/>
      <c r="K659" s="114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  <c r="AA659" s="187"/>
      <c r="AB659" s="187"/>
      <c r="AC659" s="187"/>
      <c r="AD659" s="187"/>
    </row>
    <row r="660">
      <c r="A660" s="114"/>
      <c r="B660" s="114"/>
      <c r="C660" s="114"/>
      <c r="D660" s="113"/>
      <c r="E660" s="114"/>
      <c r="F660" s="114"/>
      <c r="G660" s="114"/>
      <c r="H660" s="114"/>
      <c r="I660" s="114"/>
      <c r="J660" s="114"/>
      <c r="K660" s="114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  <c r="AA660" s="187"/>
      <c r="AB660" s="187"/>
      <c r="AC660" s="187"/>
      <c r="AD660" s="187"/>
    </row>
    <row r="661">
      <c r="A661" s="114"/>
      <c r="B661" s="114"/>
      <c r="C661" s="114"/>
      <c r="D661" s="113"/>
      <c r="E661" s="114"/>
      <c r="F661" s="114"/>
      <c r="G661" s="114"/>
      <c r="H661" s="114"/>
      <c r="I661" s="114"/>
      <c r="J661" s="114"/>
      <c r="K661" s="114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  <c r="AA661" s="187"/>
      <c r="AB661" s="187"/>
      <c r="AC661" s="187"/>
      <c r="AD661" s="187"/>
    </row>
    <row r="662">
      <c r="A662" s="114"/>
      <c r="B662" s="114"/>
      <c r="C662" s="114"/>
      <c r="D662" s="113"/>
      <c r="E662" s="114"/>
      <c r="F662" s="114"/>
      <c r="G662" s="114"/>
      <c r="H662" s="114"/>
      <c r="I662" s="114"/>
      <c r="J662" s="114"/>
      <c r="K662" s="114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  <c r="AA662" s="187"/>
      <c r="AB662" s="187"/>
      <c r="AC662" s="187"/>
      <c r="AD662" s="187"/>
    </row>
    <row r="663">
      <c r="A663" s="114"/>
      <c r="B663" s="114"/>
      <c r="C663" s="114"/>
      <c r="D663" s="113"/>
      <c r="E663" s="114"/>
      <c r="F663" s="114"/>
      <c r="G663" s="114"/>
      <c r="H663" s="114"/>
      <c r="I663" s="114"/>
      <c r="J663" s="114"/>
      <c r="K663" s="114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  <c r="AA663" s="187"/>
      <c r="AB663" s="187"/>
      <c r="AC663" s="187"/>
      <c r="AD663" s="187"/>
    </row>
    <row r="664">
      <c r="A664" s="114"/>
      <c r="B664" s="114"/>
      <c r="C664" s="114"/>
      <c r="D664" s="113"/>
      <c r="E664" s="114"/>
      <c r="F664" s="114"/>
      <c r="G664" s="114"/>
      <c r="H664" s="114"/>
      <c r="I664" s="114"/>
      <c r="J664" s="114"/>
      <c r="K664" s="114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  <c r="AA664" s="187"/>
      <c r="AB664" s="187"/>
      <c r="AC664" s="187"/>
      <c r="AD664" s="187"/>
    </row>
    <row r="665">
      <c r="A665" s="114"/>
      <c r="B665" s="114"/>
      <c r="C665" s="114"/>
      <c r="D665" s="113"/>
      <c r="E665" s="114"/>
      <c r="F665" s="114"/>
      <c r="G665" s="114"/>
      <c r="H665" s="114"/>
      <c r="I665" s="114"/>
      <c r="J665" s="114"/>
      <c r="K665" s="114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  <c r="AA665" s="187"/>
      <c r="AB665" s="187"/>
      <c r="AC665" s="187"/>
      <c r="AD665" s="187"/>
    </row>
    <row r="666">
      <c r="A666" s="114"/>
      <c r="B666" s="114"/>
      <c r="C666" s="114"/>
      <c r="D666" s="113"/>
      <c r="E666" s="114"/>
      <c r="F666" s="114"/>
      <c r="G666" s="114"/>
      <c r="H666" s="114"/>
      <c r="I666" s="114"/>
      <c r="J666" s="114"/>
      <c r="K666" s="114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  <c r="AA666" s="187"/>
      <c r="AB666" s="187"/>
      <c r="AC666" s="187"/>
      <c r="AD666" s="187"/>
    </row>
    <row r="667">
      <c r="A667" s="114"/>
      <c r="B667" s="114"/>
      <c r="C667" s="114"/>
      <c r="D667" s="113"/>
      <c r="E667" s="114"/>
      <c r="F667" s="114"/>
      <c r="G667" s="114"/>
      <c r="H667" s="114"/>
      <c r="I667" s="114"/>
      <c r="J667" s="114"/>
      <c r="K667" s="114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  <c r="AA667" s="187"/>
      <c r="AB667" s="187"/>
      <c r="AC667" s="187"/>
      <c r="AD667" s="187"/>
    </row>
    <row r="668">
      <c r="A668" s="114"/>
      <c r="B668" s="114"/>
      <c r="C668" s="114"/>
      <c r="D668" s="113"/>
      <c r="E668" s="114"/>
      <c r="F668" s="114"/>
      <c r="G668" s="114"/>
      <c r="H668" s="114"/>
      <c r="I668" s="114"/>
      <c r="J668" s="114"/>
      <c r="K668" s="114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  <c r="AA668" s="187"/>
      <c r="AB668" s="187"/>
      <c r="AC668" s="187"/>
      <c r="AD668" s="187"/>
    </row>
    <row r="669">
      <c r="A669" s="114"/>
      <c r="B669" s="114"/>
      <c r="C669" s="114"/>
      <c r="D669" s="113"/>
      <c r="E669" s="114"/>
      <c r="F669" s="114"/>
      <c r="G669" s="114"/>
      <c r="H669" s="114"/>
      <c r="I669" s="114"/>
      <c r="J669" s="114"/>
      <c r="K669" s="114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  <c r="AA669" s="187"/>
      <c r="AB669" s="187"/>
      <c r="AC669" s="187"/>
      <c r="AD669" s="187"/>
    </row>
    <row r="670">
      <c r="A670" s="114"/>
      <c r="B670" s="114"/>
      <c r="C670" s="114"/>
      <c r="D670" s="113"/>
      <c r="E670" s="114"/>
      <c r="F670" s="114"/>
      <c r="G670" s="114"/>
      <c r="H670" s="114"/>
      <c r="I670" s="114"/>
      <c r="J670" s="114"/>
      <c r="K670" s="114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  <c r="AA670" s="187"/>
      <c r="AB670" s="187"/>
      <c r="AC670" s="187"/>
      <c r="AD670" s="187"/>
    </row>
    <row r="671">
      <c r="A671" s="114"/>
      <c r="B671" s="114"/>
      <c r="C671" s="114"/>
      <c r="D671" s="113"/>
      <c r="E671" s="114"/>
      <c r="F671" s="114"/>
      <c r="G671" s="114"/>
      <c r="H671" s="114"/>
      <c r="I671" s="114"/>
      <c r="J671" s="114"/>
      <c r="K671" s="114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  <c r="AA671" s="187"/>
      <c r="AB671" s="187"/>
      <c r="AC671" s="187"/>
      <c r="AD671" s="187"/>
    </row>
    <row r="672">
      <c r="A672" s="114"/>
      <c r="B672" s="114"/>
      <c r="C672" s="114"/>
      <c r="D672" s="113"/>
      <c r="E672" s="114"/>
      <c r="F672" s="114"/>
      <c r="G672" s="114"/>
      <c r="H672" s="114"/>
      <c r="I672" s="114"/>
      <c r="J672" s="114"/>
      <c r="K672" s="114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  <c r="AA672" s="187"/>
      <c r="AB672" s="187"/>
      <c r="AC672" s="187"/>
      <c r="AD672" s="187"/>
    </row>
    <row r="673">
      <c r="A673" s="114"/>
      <c r="B673" s="114"/>
      <c r="C673" s="114"/>
      <c r="D673" s="113"/>
      <c r="E673" s="114"/>
      <c r="F673" s="114"/>
      <c r="G673" s="114"/>
      <c r="H673" s="114"/>
      <c r="I673" s="114"/>
      <c r="J673" s="114"/>
      <c r="K673" s="114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  <c r="AA673" s="187"/>
      <c r="AB673" s="187"/>
      <c r="AC673" s="187"/>
      <c r="AD673" s="187"/>
    </row>
    <row r="674">
      <c r="A674" s="114"/>
      <c r="B674" s="114"/>
      <c r="C674" s="114"/>
      <c r="D674" s="113"/>
      <c r="E674" s="114"/>
      <c r="F674" s="114"/>
      <c r="G674" s="114"/>
      <c r="H674" s="114"/>
      <c r="I674" s="114"/>
      <c r="J674" s="114"/>
      <c r="K674" s="114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  <c r="AA674" s="187"/>
      <c r="AB674" s="187"/>
      <c r="AC674" s="187"/>
      <c r="AD674" s="187"/>
    </row>
    <row r="675">
      <c r="A675" s="114"/>
      <c r="B675" s="114"/>
      <c r="C675" s="114"/>
      <c r="D675" s="113"/>
      <c r="E675" s="114"/>
      <c r="F675" s="114"/>
      <c r="G675" s="114"/>
      <c r="H675" s="114"/>
      <c r="I675" s="114"/>
      <c r="J675" s="114"/>
      <c r="K675" s="114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  <c r="AA675" s="187"/>
      <c r="AB675" s="187"/>
      <c r="AC675" s="187"/>
      <c r="AD675" s="187"/>
    </row>
    <row r="676">
      <c r="A676" s="114"/>
      <c r="B676" s="114"/>
      <c r="C676" s="114"/>
      <c r="D676" s="113"/>
      <c r="E676" s="114"/>
      <c r="F676" s="114"/>
      <c r="G676" s="114"/>
      <c r="H676" s="114"/>
      <c r="I676" s="114"/>
      <c r="J676" s="114"/>
      <c r="K676" s="114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  <c r="AA676" s="187"/>
      <c r="AB676" s="187"/>
      <c r="AC676" s="187"/>
      <c r="AD676" s="187"/>
    </row>
    <row r="677">
      <c r="A677" s="114"/>
      <c r="B677" s="114"/>
      <c r="C677" s="114"/>
      <c r="D677" s="113"/>
      <c r="E677" s="114"/>
      <c r="F677" s="114"/>
      <c r="G677" s="114"/>
      <c r="H677" s="114"/>
      <c r="I677" s="114"/>
      <c r="J677" s="114"/>
      <c r="K677" s="114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  <c r="AA677" s="187"/>
      <c r="AB677" s="187"/>
      <c r="AC677" s="187"/>
      <c r="AD677" s="187"/>
    </row>
    <row r="678">
      <c r="A678" s="114"/>
      <c r="B678" s="114"/>
      <c r="C678" s="114"/>
      <c r="D678" s="113"/>
      <c r="E678" s="114"/>
      <c r="F678" s="114"/>
      <c r="G678" s="114"/>
      <c r="H678" s="114"/>
      <c r="I678" s="114"/>
      <c r="J678" s="114"/>
      <c r="K678" s="114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  <c r="AA678" s="187"/>
      <c r="AB678" s="187"/>
      <c r="AC678" s="187"/>
      <c r="AD678" s="187"/>
    </row>
    <row r="679">
      <c r="A679" s="114"/>
      <c r="B679" s="114"/>
      <c r="C679" s="114"/>
      <c r="D679" s="113"/>
      <c r="E679" s="114"/>
      <c r="F679" s="114"/>
      <c r="G679" s="114"/>
      <c r="H679" s="114"/>
      <c r="I679" s="114"/>
      <c r="J679" s="114"/>
      <c r="K679" s="114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  <c r="AA679" s="187"/>
      <c r="AB679" s="187"/>
      <c r="AC679" s="187"/>
      <c r="AD679" s="187"/>
    </row>
    <row r="680">
      <c r="A680" s="114"/>
      <c r="B680" s="114"/>
      <c r="C680" s="114"/>
      <c r="D680" s="113"/>
      <c r="E680" s="114"/>
      <c r="F680" s="114"/>
      <c r="G680" s="114"/>
      <c r="H680" s="114"/>
      <c r="I680" s="114"/>
      <c r="J680" s="114"/>
      <c r="K680" s="114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  <c r="AA680" s="187"/>
      <c r="AB680" s="187"/>
      <c r="AC680" s="187"/>
      <c r="AD680" s="187"/>
    </row>
    <row r="681">
      <c r="A681" s="114"/>
      <c r="B681" s="114"/>
      <c r="C681" s="114"/>
      <c r="D681" s="113"/>
      <c r="E681" s="114"/>
      <c r="F681" s="114"/>
      <c r="G681" s="114"/>
      <c r="H681" s="114"/>
      <c r="I681" s="114"/>
      <c r="J681" s="114"/>
      <c r="K681" s="114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  <c r="AA681" s="187"/>
      <c r="AB681" s="187"/>
      <c r="AC681" s="187"/>
      <c r="AD681" s="187"/>
    </row>
    <row r="682">
      <c r="A682" s="114"/>
      <c r="B682" s="114"/>
      <c r="C682" s="114"/>
      <c r="D682" s="113"/>
      <c r="E682" s="114"/>
      <c r="F682" s="114"/>
      <c r="G682" s="114"/>
      <c r="H682" s="114"/>
      <c r="I682" s="114"/>
      <c r="J682" s="114"/>
      <c r="K682" s="114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  <c r="AA682" s="187"/>
      <c r="AB682" s="187"/>
      <c r="AC682" s="187"/>
      <c r="AD682" s="187"/>
    </row>
    <row r="683">
      <c r="A683" s="114"/>
      <c r="B683" s="114"/>
      <c r="C683" s="114"/>
      <c r="D683" s="113"/>
      <c r="E683" s="114"/>
      <c r="F683" s="114"/>
      <c r="G683" s="114"/>
      <c r="H683" s="114"/>
      <c r="I683" s="114"/>
      <c r="J683" s="114"/>
      <c r="K683" s="114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  <c r="AA683" s="187"/>
      <c r="AB683" s="187"/>
      <c r="AC683" s="187"/>
      <c r="AD683" s="187"/>
    </row>
    <row r="684">
      <c r="A684" s="114"/>
      <c r="B684" s="114"/>
      <c r="C684" s="114"/>
      <c r="D684" s="113"/>
      <c r="E684" s="114"/>
      <c r="F684" s="114"/>
      <c r="G684" s="114"/>
      <c r="H684" s="114"/>
      <c r="I684" s="114"/>
      <c r="J684" s="114"/>
      <c r="K684" s="114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  <c r="AA684" s="187"/>
      <c r="AB684" s="187"/>
      <c r="AC684" s="187"/>
      <c r="AD684" s="187"/>
    </row>
    <row r="685">
      <c r="A685" s="114"/>
      <c r="B685" s="114"/>
      <c r="C685" s="114"/>
      <c r="D685" s="113"/>
      <c r="E685" s="114"/>
      <c r="F685" s="114"/>
      <c r="G685" s="114"/>
      <c r="H685" s="114"/>
      <c r="I685" s="114"/>
      <c r="J685" s="114"/>
      <c r="K685" s="114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  <c r="AA685" s="187"/>
      <c r="AB685" s="187"/>
      <c r="AC685" s="187"/>
      <c r="AD685" s="187"/>
    </row>
    <row r="686">
      <c r="A686" s="114"/>
      <c r="B686" s="114"/>
      <c r="C686" s="114"/>
      <c r="D686" s="113"/>
      <c r="E686" s="114"/>
      <c r="F686" s="114"/>
      <c r="G686" s="114"/>
      <c r="H686" s="114"/>
      <c r="I686" s="114"/>
      <c r="J686" s="114"/>
      <c r="K686" s="114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  <c r="AA686" s="187"/>
      <c r="AB686" s="187"/>
      <c r="AC686" s="187"/>
      <c r="AD686" s="187"/>
    </row>
    <row r="687">
      <c r="A687" s="114"/>
      <c r="B687" s="114"/>
      <c r="C687" s="114"/>
      <c r="D687" s="113"/>
      <c r="E687" s="114"/>
      <c r="F687" s="114"/>
      <c r="G687" s="114"/>
      <c r="H687" s="114"/>
      <c r="I687" s="114"/>
      <c r="J687" s="114"/>
      <c r="K687" s="114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  <c r="AA687" s="187"/>
      <c r="AB687" s="187"/>
      <c r="AC687" s="187"/>
      <c r="AD687" s="187"/>
    </row>
    <row r="688">
      <c r="A688" s="114"/>
      <c r="B688" s="114"/>
      <c r="C688" s="114"/>
      <c r="D688" s="113"/>
      <c r="E688" s="114"/>
      <c r="F688" s="114"/>
      <c r="G688" s="114"/>
      <c r="H688" s="114"/>
      <c r="I688" s="114"/>
      <c r="J688" s="114"/>
      <c r="K688" s="114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  <c r="AA688" s="187"/>
      <c r="AB688" s="187"/>
      <c r="AC688" s="187"/>
      <c r="AD688" s="187"/>
    </row>
    <row r="689">
      <c r="A689" s="114"/>
      <c r="B689" s="114"/>
      <c r="C689" s="114"/>
      <c r="D689" s="113"/>
      <c r="E689" s="114"/>
      <c r="F689" s="114"/>
      <c r="G689" s="114"/>
      <c r="H689" s="114"/>
      <c r="I689" s="114"/>
      <c r="J689" s="114"/>
      <c r="K689" s="114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  <c r="AA689" s="187"/>
      <c r="AB689" s="187"/>
      <c r="AC689" s="187"/>
      <c r="AD689" s="187"/>
    </row>
    <row r="690">
      <c r="A690" s="114"/>
      <c r="B690" s="114"/>
      <c r="C690" s="114"/>
      <c r="D690" s="113"/>
      <c r="E690" s="114"/>
      <c r="F690" s="114"/>
      <c r="G690" s="114"/>
      <c r="H690" s="114"/>
      <c r="I690" s="114"/>
      <c r="J690" s="114"/>
      <c r="K690" s="114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  <c r="AA690" s="187"/>
      <c r="AB690" s="187"/>
      <c r="AC690" s="187"/>
      <c r="AD690" s="187"/>
    </row>
    <row r="691">
      <c r="A691" s="114"/>
      <c r="B691" s="114"/>
      <c r="C691" s="114"/>
      <c r="D691" s="113"/>
      <c r="E691" s="114"/>
      <c r="F691" s="114"/>
      <c r="G691" s="114"/>
      <c r="H691" s="114"/>
      <c r="I691" s="114"/>
      <c r="J691" s="114"/>
      <c r="K691" s="114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  <c r="AA691" s="187"/>
      <c r="AB691" s="187"/>
      <c r="AC691" s="187"/>
      <c r="AD691" s="187"/>
    </row>
    <row r="692">
      <c r="A692" s="114"/>
      <c r="B692" s="114"/>
      <c r="C692" s="114"/>
      <c r="D692" s="113"/>
      <c r="E692" s="114"/>
      <c r="F692" s="114"/>
      <c r="G692" s="114"/>
      <c r="H692" s="114"/>
      <c r="I692" s="114"/>
      <c r="J692" s="114"/>
      <c r="K692" s="114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  <c r="AA692" s="187"/>
      <c r="AB692" s="187"/>
      <c r="AC692" s="187"/>
      <c r="AD692" s="187"/>
    </row>
    <row r="693">
      <c r="A693" s="114"/>
      <c r="B693" s="114"/>
      <c r="C693" s="114"/>
      <c r="D693" s="113"/>
      <c r="E693" s="114"/>
      <c r="F693" s="114"/>
      <c r="G693" s="114"/>
      <c r="H693" s="114"/>
      <c r="I693" s="114"/>
      <c r="J693" s="114"/>
      <c r="K693" s="114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  <c r="AA693" s="187"/>
      <c r="AB693" s="187"/>
      <c r="AC693" s="187"/>
      <c r="AD693" s="187"/>
    </row>
    <row r="694">
      <c r="A694" s="114"/>
      <c r="B694" s="114"/>
      <c r="C694" s="114"/>
      <c r="D694" s="113"/>
      <c r="E694" s="114"/>
      <c r="F694" s="114"/>
      <c r="G694" s="114"/>
      <c r="H694" s="114"/>
      <c r="I694" s="114"/>
      <c r="J694" s="114"/>
      <c r="K694" s="114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  <c r="AA694" s="187"/>
      <c r="AB694" s="187"/>
      <c r="AC694" s="187"/>
      <c r="AD694" s="187"/>
    </row>
    <row r="695">
      <c r="A695" s="114"/>
      <c r="B695" s="114"/>
      <c r="C695" s="114"/>
      <c r="D695" s="113"/>
      <c r="E695" s="114"/>
      <c r="F695" s="114"/>
      <c r="G695" s="114"/>
      <c r="H695" s="114"/>
      <c r="I695" s="114"/>
      <c r="J695" s="114"/>
      <c r="K695" s="114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  <c r="AA695" s="187"/>
      <c r="AB695" s="187"/>
      <c r="AC695" s="187"/>
      <c r="AD695" s="187"/>
    </row>
    <row r="696">
      <c r="A696" s="114"/>
      <c r="B696" s="114"/>
      <c r="C696" s="114"/>
      <c r="D696" s="113"/>
      <c r="E696" s="114"/>
      <c r="F696" s="114"/>
      <c r="G696" s="114"/>
      <c r="H696" s="114"/>
      <c r="I696" s="114"/>
      <c r="J696" s="114"/>
      <c r="K696" s="114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  <c r="AA696" s="187"/>
      <c r="AB696" s="187"/>
      <c r="AC696" s="187"/>
      <c r="AD696" s="187"/>
    </row>
    <row r="697">
      <c r="A697" s="114"/>
      <c r="B697" s="114"/>
      <c r="C697" s="114"/>
      <c r="D697" s="113"/>
      <c r="E697" s="114"/>
      <c r="F697" s="114"/>
      <c r="G697" s="114"/>
      <c r="H697" s="114"/>
      <c r="I697" s="114"/>
      <c r="J697" s="114"/>
      <c r="K697" s="114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  <c r="AA697" s="187"/>
      <c r="AB697" s="187"/>
      <c r="AC697" s="187"/>
      <c r="AD697" s="187"/>
    </row>
    <row r="698">
      <c r="A698" s="114"/>
      <c r="B698" s="114"/>
      <c r="C698" s="114"/>
      <c r="D698" s="113"/>
      <c r="E698" s="114"/>
      <c r="F698" s="114"/>
      <c r="G698" s="114"/>
      <c r="H698" s="114"/>
      <c r="I698" s="114"/>
      <c r="J698" s="114"/>
      <c r="K698" s="114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  <c r="AA698" s="187"/>
      <c r="AB698" s="187"/>
      <c r="AC698" s="187"/>
      <c r="AD698" s="187"/>
    </row>
    <row r="699">
      <c r="A699" s="114"/>
      <c r="B699" s="114"/>
      <c r="C699" s="114"/>
      <c r="D699" s="113"/>
      <c r="E699" s="114"/>
      <c r="F699" s="114"/>
      <c r="G699" s="114"/>
      <c r="H699" s="114"/>
      <c r="I699" s="114"/>
      <c r="J699" s="114"/>
      <c r="K699" s="114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  <c r="AA699" s="187"/>
      <c r="AB699" s="187"/>
      <c r="AC699" s="187"/>
      <c r="AD699" s="187"/>
    </row>
    <row r="700">
      <c r="A700" s="114"/>
      <c r="B700" s="114"/>
      <c r="C700" s="114"/>
      <c r="D700" s="113"/>
      <c r="E700" s="114"/>
      <c r="F700" s="114"/>
      <c r="G700" s="114"/>
      <c r="H700" s="114"/>
      <c r="I700" s="114"/>
      <c r="J700" s="114"/>
      <c r="K700" s="114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  <c r="AA700" s="187"/>
      <c r="AB700" s="187"/>
      <c r="AC700" s="187"/>
      <c r="AD700" s="187"/>
    </row>
    <row r="701">
      <c r="A701" s="114"/>
      <c r="B701" s="114"/>
      <c r="C701" s="114"/>
      <c r="D701" s="113"/>
      <c r="E701" s="114"/>
      <c r="F701" s="114"/>
      <c r="G701" s="114"/>
      <c r="H701" s="114"/>
      <c r="I701" s="114"/>
      <c r="J701" s="114"/>
      <c r="K701" s="114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  <c r="AA701" s="187"/>
      <c r="AB701" s="187"/>
      <c r="AC701" s="187"/>
      <c r="AD701" s="187"/>
    </row>
    <row r="702">
      <c r="A702" s="114"/>
      <c r="B702" s="114"/>
      <c r="C702" s="114"/>
      <c r="D702" s="113"/>
      <c r="E702" s="114"/>
      <c r="F702" s="114"/>
      <c r="G702" s="114"/>
      <c r="H702" s="114"/>
      <c r="I702" s="114"/>
      <c r="J702" s="114"/>
      <c r="K702" s="114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  <c r="AA702" s="187"/>
      <c r="AB702" s="187"/>
      <c r="AC702" s="187"/>
      <c r="AD702" s="187"/>
    </row>
    <row r="703">
      <c r="A703" s="114"/>
      <c r="B703" s="114"/>
      <c r="C703" s="114"/>
      <c r="D703" s="113"/>
      <c r="E703" s="114"/>
      <c r="F703" s="114"/>
      <c r="G703" s="114"/>
      <c r="H703" s="114"/>
      <c r="I703" s="114"/>
      <c r="J703" s="114"/>
      <c r="K703" s="114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  <c r="AA703" s="187"/>
      <c r="AB703" s="187"/>
      <c r="AC703" s="187"/>
      <c r="AD703" s="187"/>
    </row>
    <row r="704">
      <c r="A704" s="114"/>
      <c r="B704" s="114"/>
      <c r="C704" s="114"/>
      <c r="D704" s="113"/>
      <c r="E704" s="114"/>
      <c r="F704" s="114"/>
      <c r="G704" s="114"/>
      <c r="H704" s="114"/>
      <c r="I704" s="114"/>
      <c r="J704" s="114"/>
      <c r="K704" s="114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  <c r="AA704" s="187"/>
      <c r="AB704" s="187"/>
      <c r="AC704" s="187"/>
      <c r="AD704" s="187"/>
    </row>
    <row r="705">
      <c r="A705" s="114"/>
      <c r="B705" s="114"/>
      <c r="C705" s="114"/>
      <c r="D705" s="113"/>
      <c r="E705" s="114"/>
      <c r="F705" s="114"/>
      <c r="G705" s="114"/>
      <c r="H705" s="114"/>
      <c r="I705" s="114"/>
      <c r="J705" s="114"/>
      <c r="K705" s="114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  <c r="AA705" s="187"/>
      <c r="AB705" s="187"/>
      <c r="AC705" s="187"/>
      <c r="AD705" s="187"/>
    </row>
    <row r="706">
      <c r="A706" s="114"/>
      <c r="B706" s="114"/>
      <c r="C706" s="114"/>
      <c r="D706" s="113"/>
      <c r="E706" s="114"/>
      <c r="F706" s="114"/>
      <c r="G706" s="114"/>
      <c r="H706" s="114"/>
      <c r="I706" s="114"/>
      <c r="J706" s="114"/>
      <c r="K706" s="114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  <c r="AA706" s="187"/>
      <c r="AB706" s="187"/>
      <c r="AC706" s="187"/>
      <c r="AD706" s="187"/>
    </row>
    <row r="707">
      <c r="A707" s="114"/>
      <c r="B707" s="114"/>
      <c r="C707" s="114"/>
      <c r="D707" s="113"/>
      <c r="E707" s="114"/>
      <c r="F707" s="114"/>
      <c r="G707" s="114"/>
      <c r="H707" s="114"/>
      <c r="I707" s="114"/>
      <c r="J707" s="114"/>
      <c r="K707" s="114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  <c r="AA707" s="187"/>
      <c r="AB707" s="187"/>
      <c r="AC707" s="187"/>
      <c r="AD707" s="187"/>
    </row>
    <row r="708">
      <c r="A708" s="114"/>
      <c r="B708" s="114"/>
      <c r="C708" s="114"/>
      <c r="D708" s="113"/>
      <c r="E708" s="114"/>
      <c r="F708" s="114"/>
      <c r="G708" s="114"/>
      <c r="H708" s="114"/>
      <c r="I708" s="114"/>
      <c r="J708" s="114"/>
      <c r="K708" s="114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  <c r="AA708" s="187"/>
      <c r="AB708" s="187"/>
      <c r="AC708" s="187"/>
      <c r="AD708" s="187"/>
    </row>
    <row r="709">
      <c r="A709" s="114"/>
      <c r="B709" s="114"/>
      <c r="C709" s="114"/>
      <c r="D709" s="113"/>
      <c r="E709" s="114"/>
      <c r="F709" s="114"/>
      <c r="G709" s="114"/>
      <c r="H709" s="114"/>
      <c r="I709" s="114"/>
      <c r="J709" s="114"/>
      <c r="K709" s="114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  <c r="AA709" s="187"/>
      <c r="AB709" s="187"/>
      <c r="AC709" s="187"/>
      <c r="AD709" s="187"/>
    </row>
    <row r="710">
      <c r="A710" s="114"/>
      <c r="B710" s="114"/>
      <c r="C710" s="114"/>
      <c r="D710" s="113"/>
      <c r="E710" s="114"/>
      <c r="F710" s="114"/>
      <c r="G710" s="114"/>
      <c r="H710" s="114"/>
      <c r="I710" s="114"/>
      <c r="J710" s="114"/>
      <c r="K710" s="114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  <c r="AA710" s="187"/>
      <c r="AB710" s="187"/>
      <c r="AC710" s="187"/>
      <c r="AD710" s="187"/>
    </row>
    <row r="711">
      <c r="A711" s="114"/>
      <c r="B711" s="114"/>
      <c r="C711" s="114"/>
      <c r="D711" s="113"/>
      <c r="E711" s="114"/>
      <c r="F711" s="114"/>
      <c r="G711" s="114"/>
      <c r="H711" s="114"/>
      <c r="I711" s="114"/>
      <c r="J711" s="114"/>
      <c r="K711" s="114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  <c r="AA711" s="187"/>
      <c r="AB711" s="187"/>
      <c r="AC711" s="187"/>
      <c r="AD711" s="187"/>
    </row>
    <row r="712">
      <c r="A712" s="114"/>
      <c r="B712" s="114"/>
      <c r="C712" s="114"/>
      <c r="D712" s="113"/>
      <c r="E712" s="114"/>
      <c r="F712" s="114"/>
      <c r="G712" s="114"/>
      <c r="H712" s="114"/>
      <c r="I712" s="114"/>
      <c r="J712" s="114"/>
      <c r="K712" s="114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  <c r="AA712" s="187"/>
      <c r="AB712" s="187"/>
      <c r="AC712" s="187"/>
      <c r="AD712" s="187"/>
    </row>
    <row r="713">
      <c r="A713" s="114"/>
      <c r="B713" s="114"/>
      <c r="C713" s="114"/>
      <c r="D713" s="113"/>
      <c r="E713" s="114"/>
      <c r="F713" s="114"/>
      <c r="G713" s="114"/>
      <c r="H713" s="114"/>
      <c r="I713" s="114"/>
      <c r="J713" s="114"/>
      <c r="K713" s="114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  <c r="AA713" s="187"/>
      <c r="AB713" s="187"/>
      <c r="AC713" s="187"/>
      <c r="AD713" s="187"/>
    </row>
    <row r="714">
      <c r="A714" s="114"/>
      <c r="B714" s="114"/>
      <c r="C714" s="114"/>
      <c r="D714" s="113"/>
      <c r="E714" s="114"/>
      <c r="F714" s="114"/>
      <c r="G714" s="114"/>
      <c r="H714" s="114"/>
      <c r="I714" s="114"/>
      <c r="J714" s="114"/>
      <c r="K714" s="114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  <c r="AA714" s="187"/>
      <c r="AB714" s="187"/>
      <c r="AC714" s="187"/>
      <c r="AD714" s="187"/>
    </row>
    <row r="715">
      <c r="A715" s="114"/>
      <c r="B715" s="114"/>
      <c r="C715" s="114"/>
      <c r="D715" s="113"/>
      <c r="E715" s="114"/>
      <c r="F715" s="114"/>
      <c r="G715" s="114"/>
      <c r="H715" s="114"/>
      <c r="I715" s="114"/>
      <c r="J715" s="114"/>
      <c r="K715" s="114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  <c r="AA715" s="187"/>
      <c r="AB715" s="187"/>
      <c r="AC715" s="187"/>
      <c r="AD715" s="187"/>
    </row>
    <row r="716">
      <c r="A716" s="114"/>
      <c r="B716" s="114"/>
      <c r="C716" s="114"/>
      <c r="D716" s="113"/>
      <c r="E716" s="114"/>
      <c r="F716" s="114"/>
      <c r="G716" s="114"/>
      <c r="H716" s="114"/>
      <c r="I716" s="114"/>
      <c r="J716" s="114"/>
      <c r="K716" s="114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  <c r="AA716" s="187"/>
      <c r="AB716" s="187"/>
      <c r="AC716" s="187"/>
      <c r="AD716" s="187"/>
    </row>
    <row r="717">
      <c r="A717" s="114"/>
      <c r="B717" s="114"/>
      <c r="C717" s="114"/>
      <c r="D717" s="113"/>
      <c r="E717" s="114"/>
      <c r="F717" s="114"/>
      <c r="G717" s="114"/>
      <c r="H717" s="114"/>
      <c r="I717" s="114"/>
      <c r="J717" s="114"/>
      <c r="K717" s="114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  <c r="AA717" s="187"/>
      <c r="AB717" s="187"/>
      <c r="AC717" s="187"/>
      <c r="AD717" s="187"/>
    </row>
    <row r="718">
      <c r="A718" s="114"/>
      <c r="B718" s="114"/>
      <c r="C718" s="114"/>
      <c r="D718" s="113"/>
      <c r="E718" s="114"/>
      <c r="F718" s="114"/>
      <c r="G718" s="114"/>
      <c r="H718" s="114"/>
      <c r="I718" s="114"/>
      <c r="J718" s="114"/>
      <c r="K718" s="114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  <c r="AA718" s="187"/>
      <c r="AB718" s="187"/>
      <c r="AC718" s="187"/>
      <c r="AD718" s="187"/>
    </row>
    <row r="719">
      <c r="A719" s="114"/>
      <c r="B719" s="114"/>
      <c r="C719" s="114"/>
      <c r="D719" s="113"/>
      <c r="E719" s="114"/>
      <c r="F719" s="114"/>
      <c r="G719" s="114"/>
      <c r="H719" s="114"/>
      <c r="I719" s="114"/>
      <c r="J719" s="114"/>
      <c r="K719" s="114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  <c r="AA719" s="187"/>
      <c r="AB719" s="187"/>
      <c r="AC719" s="187"/>
      <c r="AD719" s="187"/>
    </row>
    <row r="720">
      <c r="A720" s="114"/>
      <c r="B720" s="114"/>
      <c r="C720" s="114"/>
      <c r="D720" s="113"/>
      <c r="E720" s="114"/>
      <c r="F720" s="114"/>
      <c r="G720" s="114"/>
      <c r="H720" s="114"/>
      <c r="I720" s="114"/>
      <c r="J720" s="114"/>
      <c r="K720" s="114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  <c r="AA720" s="187"/>
      <c r="AB720" s="187"/>
      <c r="AC720" s="187"/>
      <c r="AD720" s="187"/>
    </row>
    <row r="721">
      <c r="A721" s="114"/>
      <c r="B721" s="114"/>
      <c r="C721" s="114"/>
      <c r="D721" s="113"/>
      <c r="E721" s="114"/>
      <c r="F721" s="114"/>
      <c r="G721" s="114"/>
      <c r="H721" s="114"/>
      <c r="I721" s="114"/>
      <c r="J721" s="114"/>
      <c r="K721" s="114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  <c r="AA721" s="187"/>
      <c r="AB721" s="187"/>
      <c r="AC721" s="187"/>
      <c r="AD721" s="187"/>
    </row>
    <row r="722">
      <c r="A722" s="114"/>
      <c r="B722" s="114"/>
      <c r="C722" s="114"/>
      <c r="D722" s="113"/>
      <c r="E722" s="114"/>
      <c r="F722" s="114"/>
      <c r="G722" s="114"/>
      <c r="H722" s="114"/>
      <c r="I722" s="114"/>
      <c r="J722" s="114"/>
      <c r="K722" s="114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  <c r="AA722" s="187"/>
      <c r="AB722" s="187"/>
      <c r="AC722" s="187"/>
      <c r="AD722" s="187"/>
    </row>
    <row r="723">
      <c r="A723" s="114"/>
      <c r="B723" s="114"/>
      <c r="C723" s="114"/>
      <c r="D723" s="113"/>
      <c r="E723" s="114"/>
      <c r="F723" s="114"/>
      <c r="G723" s="114"/>
      <c r="H723" s="114"/>
      <c r="I723" s="114"/>
      <c r="J723" s="114"/>
      <c r="K723" s="114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  <c r="AA723" s="187"/>
      <c r="AB723" s="187"/>
      <c r="AC723" s="187"/>
      <c r="AD723" s="187"/>
    </row>
    <row r="724">
      <c r="A724" s="114"/>
      <c r="B724" s="114"/>
      <c r="C724" s="114"/>
      <c r="D724" s="113"/>
      <c r="E724" s="114"/>
      <c r="F724" s="114"/>
      <c r="G724" s="114"/>
      <c r="H724" s="114"/>
      <c r="I724" s="114"/>
      <c r="J724" s="114"/>
      <c r="K724" s="114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  <c r="AA724" s="187"/>
      <c r="AB724" s="187"/>
      <c r="AC724" s="187"/>
      <c r="AD724" s="187"/>
    </row>
    <row r="725">
      <c r="A725" s="114"/>
      <c r="B725" s="114"/>
      <c r="C725" s="114"/>
      <c r="D725" s="113"/>
      <c r="E725" s="114"/>
      <c r="F725" s="114"/>
      <c r="G725" s="114"/>
      <c r="H725" s="114"/>
      <c r="I725" s="114"/>
      <c r="J725" s="114"/>
      <c r="K725" s="114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  <c r="AA725" s="187"/>
      <c r="AB725" s="187"/>
      <c r="AC725" s="187"/>
      <c r="AD725" s="187"/>
    </row>
    <row r="726">
      <c r="A726" s="114"/>
      <c r="B726" s="114"/>
      <c r="C726" s="114"/>
      <c r="D726" s="113"/>
      <c r="E726" s="114"/>
      <c r="F726" s="114"/>
      <c r="G726" s="114"/>
      <c r="H726" s="114"/>
      <c r="I726" s="114"/>
      <c r="J726" s="114"/>
      <c r="K726" s="114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  <c r="AA726" s="187"/>
      <c r="AB726" s="187"/>
      <c r="AC726" s="187"/>
      <c r="AD726" s="187"/>
    </row>
    <row r="727">
      <c r="A727" s="114"/>
      <c r="B727" s="114"/>
      <c r="C727" s="114"/>
      <c r="D727" s="113"/>
      <c r="E727" s="114"/>
      <c r="F727" s="114"/>
      <c r="G727" s="114"/>
      <c r="H727" s="114"/>
      <c r="I727" s="114"/>
      <c r="J727" s="114"/>
      <c r="K727" s="114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  <c r="AA727" s="187"/>
      <c r="AB727" s="187"/>
      <c r="AC727" s="187"/>
      <c r="AD727" s="187"/>
    </row>
    <row r="728">
      <c r="A728" s="114"/>
      <c r="B728" s="114"/>
      <c r="C728" s="114"/>
      <c r="D728" s="113"/>
      <c r="E728" s="114"/>
      <c r="F728" s="114"/>
      <c r="G728" s="114"/>
      <c r="H728" s="114"/>
      <c r="I728" s="114"/>
      <c r="J728" s="114"/>
      <c r="K728" s="114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  <c r="AA728" s="187"/>
      <c r="AB728" s="187"/>
      <c r="AC728" s="187"/>
      <c r="AD728" s="187"/>
    </row>
    <row r="729">
      <c r="A729" s="114"/>
      <c r="B729" s="114"/>
      <c r="C729" s="114"/>
      <c r="D729" s="113"/>
      <c r="E729" s="114"/>
      <c r="F729" s="114"/>
      <c r="G729" s="114"/>
      <c r="H729" s="114"/>
      <c r="I729" s="114"/>
      <c r="J729" s="114"/>
      <c r="K729" s="114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  <c r="AA729" s="187"/>
      <c r="AB729" s="187"/>
      <c r="AC729" s="187"/>
      <c r="AD729" s="187"/>
    </row>
    <row r="730">
      <c r="A730" s="114"/>
      <c r="B730" s="114"/>
      <c r="C730" s="114"/>
      <c r="D730" s="113"/>
      <c r="E730" s="114"/>
      <c r="F730" s="114"/>
      <c r="G730" s="114"/>
      <c r="H730" s="114"/>
      <c r="I730" s="114"/>
      <c r="J730" s="114"/>
      <c r="K730" s="114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  <c r="AA730" s="187"/>
      <c r="AB730" s="187"/>
      <c r="AC730" s="187"/>
      <c r="AD730" s="187"/>
    </row>
    <row r="731">
      <c r="A731" s="114"/>
      <c r="B731" s="114"/>
      <c r="C731" s="114"/>
      <c r="D731" s="113"/>
      <c r="E731" s="114"/>
      <c r="F731" s="114"/>
      <c r="G731" s="114"/>
      <c r="H731" s="114"/>
      <c r="I731" s="114"/>
      <c r="J731" s="114"/>
      <c r="K731" s="114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  <c r="AA731" s="187"/>
      <c r="AB731" s="187"/>
      <c r="AC731" s="187"/>
      <c r="AD731" s="187"/>
    </row>
    <row r="732">
      <c r="A732" s="114"/>
      <c r="B732" s="114"/>
      <c r="C732" s="114"/>
      <c r="D732" s="113"/>
      <c r="E732" s="114"/>
      <c r="F732" s="114"/>
      <c r="G732" s="114"/>
      <c r="H732" s="114"/>
      <c r="I732" s="114"/>
      <c r="J732" s="114"/>
      <c r="K732" s="114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  <c r="AA732" s="187"/>
      <c r="AB732" s="187"/>
      <c r="AC732" s="187"/>
      <c r="AD732" s="187"/>
    </row>
    <row r="733">
      <c r="A733" s="114"/>
      <c r="B733" s="114"/>
      <c r="C733" s="114"/>
      <c r="D733" s="113"/>
      <c r="E733" s="114"/>
      <c r="F733" s="114"/>
      <c r="G733" s="114"/>
      <c r="H733" s="114"/>
      <c r="I733" s="114"/>
      <c r="J733" s="114"/>
      <c r="K733" s="114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  <c r="AA733" s="187"/>
      <c r="AB733" s="187"/>
      <c r="AC733" s="187"/>
      <c r="AD733" s="187"/>
    </row>
    <row r="734">
      <c r="A734" s="114"/>
      <c r="B734" s="114"/>
      <c r="C734" s="114"/>
      <c r="D734" s="113"/>
      <c r="E734" s="114"/>
      <c r="F734" s="114"/>
      <c r="G734" s="114"/>
      <c r="H734" s="114"/>
      <c r="I734" s="114"/>
      <c r="J734" s="114"/>
      <c r="K734" s="114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  <c r="AA734" s="187"/>
      <c r="AB734" s="187"/>
      <c r="AC734" s="187"/>
      <c r="AD734" s="187"/>
    </row>
    <row r="735">
      <c r="A735" s="114"/>
      <c r="B735" s="114"/>
      <c r="C735" s="114"/>
      <c r="D735" s="113"/>
      <c r="E735" s="114"/>
      <c r="F735" s="114"/>
      <c r="G735" s="114"/>
      <c r="H735" s="114"/>
      <c r="I735" s="114"/>
      <c r="J735" s="114"/>
      <c r="K735" s="114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  <c r="AA735" s="187"/>
      <c r="AB735" s="187"/>
      <c r="AC735" s="187"/>
      <c r="AD735" s="187"/>
    </row>
    <row r="736">
      <c r="A736" s="114"/>
      <c r="B736" s="114"/>
      <c r="C736" s="114"/>
      <c r="D736" s="113"/>
      <c r="E736" s="114"/>
      <c r="F736" s="114"/>
      <c r="G736" s="114"/>
      <c r="H736" s="114"/>
      <c r="I736" s="114"/>
      <c r="J736" s="114"/>
      <c r="K736" s="114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  <c r="AA736" s="187"/>
      <c r="AB736" s="187"/>
      <c r="AC736" s="187"/>
      <c r="AD736" s="187"/>
    </row>
    <row r="737">
      <c r="A737" s="114"/>
      <c r="B737" s="114"/>
      <c r="C737" s="114"/>
      <c r="D737" s="113"/>
      <c r="E737" s="114"/>
      <c r="F737" s="114"/>
      <c r="G737" s="114"/>
      <c r="H737" s="114"/>
      <c r="I737" s="114"/>
      <c r="J737" s="114"/>
      <c r="K737" s="114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  <c r="AA737" s="187"/>
      <c r="AB737" s="187"/>
      <c r="AC737" s="187"/>
      <c r="AD737" s="187"/>
    </row>
    <row r="738">
      <c r="A738" s="114"/>
      <c r="B738" s="114"/>
      <c r="C738" s="114"/>
      <c r="D738" s="113"/>
      <c r="E738" s="114"/>
      <c r="F738" s="114"/>
      <c r="G738" s="114"/>
      <c r="H738" s="114"/>
      <c r="I738" s="114"/>
      <c r="J738" s="114"/>
      <c r="K738" s="114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  <c r="AA738" s="187"/>
      <c r="AB738" s="187"/>
      <c r="AC738" s="187"/>
      <c r="AD738" s="187"/>
    </row>
    <row r="739">
      <c r="A739" s="114"/>
      <c r="B739" s="114"/>
      <c r="C739" s="114"/>
      <c r="D739" s="113"/>
      <c r="E739" s="114"/>
      <c r="F739" s="114"/>
      <c r="G739" s="114"/>
      <c r="H739" s="114"/>
      <c r="I739" s="114"/>
      <c r="J739" s="114"/>
      <c r="K739" s="114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  <c r="AA739" s="187"/>
      <c r="AB739" s="187"/>
      <c r="AC739" s="187"/>
      <c r="AD739" s="187"/>
    </row>
    <row r="740">
      <c r="A740" s="114"/>
      <c r="B740" s="114"/>
      <c r="C740" s="114"/>
      <c r="D740" s="113"/>
      <c r="E740" s="114"/>
      <c r="F740" s="114"/>
      <c r="G740" s="114"/>
      <c r="H740" s="114"/>
      <c r="I740" s="114"/>
      <c r="J740" s="114"/>
      <c r="K740" s="114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  <c r="AA740" s="187"/>
      <c r="AB740" s="187"/>
      <c r="AC740" s="187"/>
      <c r="AD740" s="187"/>
    </row>
    <row r="741">
      <c r="A741" s="114"/>
      <c r="B741" s="114"/>
      <c r="C741" s="114"/>
      <c r="D741" s="113"/>
      <c r="E741" s="114"/>
      <c r="F741" s="114"/>
      <c r="G741" s="114"/>
      <c r="H741" s="114"/>
      <c r="I741" s="114"/>
      <c r="J741" s="114"/>
      <c r="K741" s="114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  <c r="AA741" s="187"/>
      <c r="AB741" s="187"/>
      <c r="AC741" s="187"/>
      <c r="AD741" s="187"/>
    </row>
    <row r="742">
      <c r="A742" s="114"/>
      <c r="B742" s="114"/>
      <c r="C742" s="114"/>
      <c r="D742" s="113"/>
      <c r="E742" s="114"/>
      <c r="F742" s="114"/>
      <c r="G742" s="114"/>
      <c r="H742" s="114"/>
      <c r="I742" s="114"/>
      <c r="J742" s="114"/>
      <c r="K742" s="114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  <c r="AA742" s="187"/>
      <c r="AB742" s="187"/>
      <c r="AC742" s="187"/>
      <c r="AD742" s="187"/>
    </row>
    <row r="743">
      <c r="A743" s="114"/>
      <c r="B743" s="114"/>
      <c r="C743" s="114"/>
      <c r="D743" s="113"/>
      <c r="E743" s="114"/>
      <c r="F743" s="114"/>
      <c r="G743" s="114"/>
      <c r="H743" s="114"/>
      <c r="I743" s="114"/>
      <c r="J743" s="114"/>
      <c r="K743" s="114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  <c r="AA743" s="187"/>
      <c r="AB743" s="187"/>
      <c r="AC743" s="187"/>
      <c r="AD743" s="187"/>
    </row>
    <row r="744">
      <c r="A744" s="114"/>
      <c r="B744" s="114"/>
      <c r="C744" s="114"/>
      <c r="D744" s="113"/>
      <c r="E744" s="114"/>
      <c r="F744" s="114"/>
      <c r="G744" s="114"/>
      <c r="H744" s="114"/>
      <c r="I744" s="114"/>
      <c r="J744" s="114"/>
      <c r="K744" s="114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  <c r="AA744" s="187"/>
      <c r="AB744" s="187"/>
      <c r="AC744" s="187"/>
      <c r="AD744" s="187"/>
    </row>
    <row r="745">
      <c r="A745" s="114"/>
      <c r="B745" s="114"/>
      <c r="C745" s="114"/>
      <c r="D745" s="113"/>
      <c r="E745" s="114"/>
      <c r="F745" s="114"/>
      <c r="G745" s="114"/>
      <c r="H745" s="114"/>
      <c r="I745" s="114"/>
      <c r="J745" s="114"/>
      <c r="K745" s="114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  <c r="AA745" s="187"/>
      <c r="AB745" s="187"/>
      <c r="AC745" s="187"/>
      <c r="AD745" s="187"/>
    </row>
    <row r="746">
      <c r="A746" s="114"/>
      <c r="B746" s="114"/>
      <c r="C746" s="114"/>
      <c r="D746" s="113"/>
      <c r="E746" s="114"/>
      <c r="F746" s="114"/>
      <c r="G746" s="114"/>
      <c r="H746" s="114"/>
      <c r="I746" s="114"/>
      <c r="J746" s="114"/>
      <c r="K746" s="114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  <c r="AA746" s="187"/>
      <c r="AB746" s="187"/>
      <c r="AC746" s="187"/>
      <c r="AD746" s="187"/>
    </row>
    <row r="747">
      <c r="A747" s="114"/>
      <c r="B747" s="114"/>
      <c r="C747" s="114"/>
      <c r="D747" s="113"/>
      <c r="E747" s="114"/>
      <c r="F747" s="114"/>
      <c r="G747" s="114"/>
      <c r="H747" s="114"/>
      <c r="I747" s="114"/>
      <c r="J747" s="114"/>
      <c r="K747" s="114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  <c r="AA747" s="187"/>
      <c r="AB747" s="187"/>
      <c r="AC747" s="187"/>
      <c r="AD747" s="187"/>
    </row>
    <row r="748">
      <c r="A748" s="114"/>
      <c r="B748" s="114"/>
      <c r="C748" s="114"/>
      <c r="D748" s="113"/>
      <c r="E748" s="114"/>
      <c r="F748" s="114"/>
      <c r="G748" s="114"/>
      <c r="H748" s="114"/>
      <c r="I748" s="114"/>
      <c r="J748" s="114"/>
      <c r="K748" s="114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  <c r="AA748" s="187"/>
      <c r="AB748" s="187"/>
      <c r="AC748" s="187"/>
      <c r="AD748" s="187"/>
    </row>
    <row r="749">
      <c r="A749" s="114"/>
      <c r="B749" s="114"/>
      <c r="C749" s="114"/>
      <c r="D749" s="113"/>
      <c r="E749" s="114"/>
      <c r="F749" s="114"/>
      <c r="G749" s="114"/>
      <c r="H749" s="114"/>
      <c r="I749" s="114"/>
      <c r="J749" s="114"/>
      <c r="K749" s="114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  <c r="AA749" s="187"/>
      <c r="AB749" s="187"/>
      <c r="AC749" s="187"/>
      <c r="AD749" s="187"/>
    </row>
    <row r="750">
      <c r="A750" s="114"/>
      <c r="B750" s="114"/>
      <c r="C750" s="114"/>
      <c r="D750" s="113"/>
      <c r="E750" s="114"/>
      <c r="F750" s="114"/>
      <c r="G750" s="114"/>
      <c r="H750" s="114"/>
      <c r="I750" s="114"/>
      <c r="J750" s="114"/>
      <c r="K750" s="114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  <c r="AA750" s="187"/>
      <c r="AB750" s="187"/>
      <c r="AC750" s="187"/>
      <c r="AD750" s="187"/>
    </row>
    <row r="751">
      <c r="A751" s="114"/>
      <c r="B751" s="114"/>
      <c r="C751" s="114"/>
      <c r="D751" s="113"/>
      <c r="E751" s="114"/>
      <c r="F751" s="114"/>
      <c r="G751" s="114"/>
      <c r="H751" s="114"/>
      <c r="I751" s="114"/>
      <c r="J751" s="114"/>
      <c r="K751" s="114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  <c r="AA751" s="187"/>
      <c r="AB751" s="187"/>
      <c r="AC751" s="187"/>
      <c r="AD751" s="187"/>
    </row>
    <row r="752">
      <c r="A752" s="114"/>
      <c r="B752" s="114"/>
      <c r="C752" s="114"/>
      <c r="D752" s="113"/>
      <c r="E752" s="114"/>
      <c r="F752" s="114"/>
      <c r="G752" s="114"/>
      <c r="H752" s="114"/>
      <c r="I752" s="114"/>
      <c r="J752" s="114"/>
      <c r="K752" s="114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  <c r="AA752" s="187"/>
      <c r="AB752" s="187"/>
      <c r="AC752" s="187"/>
      <c r="AD752" s="187"/>
    </row>
    <row r="753">
      <c r="A753" s="114"/>
      <c r="B753" s="114"/>
      <c r="C753" s="114"/>
      <c r="D753" s="113"/>
      <c r="E753" s="114"/>
      <c r="F753" s="114"/>
      <c r="G753" s="114"/>
      <c r="H753" s="114"/>
      <c r="I753" s="114"/>
      <c r="J753" s="114"/>
      <c r="K753" s="114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  <c r="AA753" s="187"/>
      <c r="AB753" s="187"/>
      <c r="AC753" s="187"/>
      <c r="AD753" s="187"/>
    </row>
    <row r="754">
      <c r="A754" s="114"/>
      <c r="B754" s="114"/>
      <c r="C754" s="114"/>
      <c r="D754" s="113"/>
      <c r="E754" s="114"/>
      <c r="F754" s="114"/>
      <c r="G754" s="114"/>
      <c r="H754" s="114"/>
      <c r="I754" s="114"/>
      <c r="J754" s="114"/>
      <c r="K754" s="114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  <c r="AA754" s="187"/>
      <c r="AB754" s="187"/>
      <c r="AC754" s="187"/>
      <c r="AD754" s="187"/>
    </row>
    <row r="755">
      <c r="A755" s="114"/>
      <c r="B755" s="114"/>
      <c r="C755" s="114"/>
      <c r="D755" s="113"/>
      <c r="E755" s="114"/>
      <c r="F755" s="114"/>
      <c r="G755" s="114"/>
      <c r="H755" s="114"/>
      <c r="I755" s="114"/>
      <c r="J755" s="114"/>
      <c r="K755" s="114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  <c r="AA755" s="187"/>
      <c r="AB755" s="187"/>
      <c r="AC755" s="187"/>
      <c r="AD755" s="187"/>
    </row>
    <row r="756">
      <c r="A756" s="114"/>
      <c r="B756" s="114"/>
      <c r="C756" s="114"/>
      <c r="D756" s="113"/>
      <c r="E756" s="114"/>
      <c r="F756" s="114"/>
      <c r="G756" s="114"/>
      <c r="H756" s="114"/>
      <c r="I756" s="114"/>
      <c r="J756" s="114"/>
      <c r="K756" s="114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  <c r="AA756" s="187"/>
      <c r="AB756" s="187"/>
      <c r="AC756" s="187"/>
      <c r="AD756" s="187"/>
    </row>
    <row r="757">
      <c r="A757" s="114"/>
      <c r="B757" s="114"/>
      <c r="C757" s="114"/>
      <c r="D757" s="113"/>
      <c r="E757" s="114"/>
      <c r="F757" s="114"/>
      <c r="G757" s="114"/>
      <c r="H757" s="114"/>
      <c r="I757" s="114"/>
      <c r="J757" s="114"/>
      <c r="K757" s="114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  <c r="AA757" s="187"/>
      <c r="AB757" s="187"/>
      <c r="AC757" s="187"/>
      <c r="AD757" s="187"/>
    </row>
    <row r="758">
      <c r="A758" s="114"/>
      <c r="B758" s="114"/>
      <c r="C758" s="114"/>
      <c r="D758" s="113"/>
      <c r="E758" s="114"/>
      <c r="F758" s="114"/>
      <c r="G758" s="114"/>
      <c r="H758" s="114"/>
      <c r="I758" s="114"/>
      <c r="J758" s="114"/>
      <c r="K758" s="114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  <c r="AA758" s="187"/>
      <c r="AB758" s="187"/>
      <c r="AC758" s="187"/>
      <c r="AD758" s="187"/>
    </row>
    <row r="759">
      <c r="A759" s="114"/>
      <c r="B759" s="114"/>
      <c r="C759" s="114"/>
      <c r="D759" s="113"/>
      <c r="E759" s="114"/>
      <c r="F759" s="114"/>
      <c r="G759" s="114"/>
      <c r="H759" s="114"/>
      <c r="I759" s="114"/>
      <c r="J759" s="114"/>
      <c r="K759" s="114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  <c r="AA759" s="187"/>
      <c r="AB759" s="187"/>
      <c r="AC759" s="187"/>
      <c r="AD759" s="187"/>
    </row>
    <row r="760">
      <c r="A760" s="114"/>
      <c r="B760" s="114"/>
      <c r="C760" s="114"/>
      <c r="D760" s="113"/>
      <c r="E760" s="114"/>
      <c r="F760" s="114"/>
      <c r="G760" s="114"/>
      <c r="H760" s="114"/>
      <c r="I760" s="114"/>
      <c r="J760" s="114"/>
      <c r="K760" s="114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  <c r="AA760" s="187"/>
      <c r="AB760" s="187"/>
      <c r="AC760" s="187"/>
      <c r="AD760" s="187"/>
    </row>
    <row r="761">
      <c r="A761" s="114"/>
      <c r="B761" s="114"/>
      <c r="C761" s="114"/>
      <c r="D761" s="113"/>
      <c r="E761" s="114"/>
      <c r="F761" s="114"/>
      <c r="G761" s="114"/>
      <c r="H761" s="114"/>
      <c r="I761" s="114"/>
      <c r="J761" s="114"/>
      <c r="K761" s="114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  <c r="AA761" s="187"/>
      <c r="AB761" s="187"/>
      <c r="AC761" s="187"/>
      <c r="AD761" s="187"/>
    </row>
    <row r="762">
      <c r="A762" s="114"/>
      <c r="B762" s="114"/>
      <c r="C762" s="114"/>
      <c r="D762" s="113"/>
      <c r="E762" s="114"/>
      <c r="F762" s="114"/>
      <c r="G762" s="114"/>
      <c r="H762" s="114"/>
      <c r="I762" s="114"/>
      <c r="J762" s="114"/>
      <c r="K762" s="114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  <c r="AA762" s="187"/>
      <c r="AB762" s="187"/>
      <c r="AC762" s="187"/>
      <c r="AD762" s="187"/>
    </row>
    <row r="763">
      <c r="A763" s="114"/>
      <c r="B763" s="114"/>
      <c r="C763" s="114"/>
      <c r="D763" s="113"/>
      <c r="E763" s="114"/>
      <c r="F763" s="114"/>
      <c r="G763" s="114"/>
      <c r="H763" s="114"/>
      <c r="I763" s="114"/>
      <c r="J763" s="114"/>
      <c r="K763" s="114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  <c r="AA763" s="187"/>
      <c r="AB763" s="187"/>
      <c r="AC763" s="187"/>
      <c r="AD763" s="187"/>
    </row>
    <row r="764">
      <c r="A764" s="114"/>
      <c r="B764" s="114"/>
      <c r="C764" s="114"/>
      <c r="D764" s="113"/>
      <c r="E764" s="114"/>
      <c r="F764" s="114"/>
      <c r="G764" s="114"/>
      <c r="H764" s="114"/>
      <c r="I764" s="114"/>
      <c r="J764" s="114"/>
      <c r="K764" s="114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  <c r="AA764" s="187"/>
      <c r="AB764" s="187"/>
      <c r="AC764" s="187"/>
      <c r="AD764" s="187"/>
    </row>
    <row r="765">
      <c r="A765" s="114"/>
      <c r="B765" s="114"/>
      <c r="C765" s="114"/>
      <c r="D765" s="113"/>
      <c r="E765" s="114"/>
      <c r="F765" s="114"/>
      <c r="G765" s="114"/>
      <c r="H765" s="114"/>
      <c r="I765" s="114"/>
      <c r="J765" s="114"/>
      <c r="K765" s="114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  <c r="AA765" s="187"/>
      <c r="AB765" s="187"/>
      <c r="AC765" s="187"/>
      <c r="AD765" s="187"/>
    </row>
    <row r="766">
      <c r="A766" s="114"/>
      <c r="B766" s="114"/>
      <c r="C766" s="114"/>
      <c r="D766" s="113"/>
      <c r="E766" s="114"/>
      <c r="F766" s="114"/>
      <c r="G766" s="114"/>
      <c r="H766" s="114"/>
      <c r="I766" s="114"/>
      <c r="J766" s="114"/>
      <c r="K766" s="114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  <c r="AA766" s="187"/>
      <c r="AB766" s="187"/>
      <c r="AC766" s="187"/>
      <c r="AD766" s="187"/>
    </row>
    <row r="767">
      <c r="A767" s="114"/>
      <c r="B767" s="114"/>
      <c r="C767" s="114"/>
      <c r="D767" s="113"/>
      <c r="E767" s="114"/>
      <c r="F767" s="114"/>
      <c r="G767" s="114"/>
      <c r="H767" s="114"/>
      <c r="I767" s="114"/>
      <c r="J767" s="114"/>
      <c r="K767" s="114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  <c r="AA767" s="187"/>
      <c r="AB767" s="187"/>
      <c r="AC767" s="187"/>
      <c r="AD767" s="187"/>
    </row>
    <row r="768">
      <c r="A768" s="114"/>
      <c r="B768" s="114"/>
      <c r="C768" s="114"/>
      <c r="D768" s="113"/>
      <c r="E768" s="114"/>
      <c r="F768" s="114"/>
      <c r="G768" s="114"/>
      <c r="H768" s="114"/>
      <c r="I768" s="114"/>
      <c r="J768" s="114"/>
      <c r="K768" s="114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  <c r="AA768" s="187"/>
      <c r="AB768" s="187"/>
      <c r="AC768" s="187"/>
      <c r="AD768" s="187"/>
    </row>
    <row r="769">
      <c r="A769" s="114"/>
      <c r="B769" s="114"/>
      <c r="C769" s="114"/>
      <c r="D769" s="113"/>
      <c r="E769" s="114"/>
      <c r="F769" s="114"/>
      <c r="G769" s="114"/>
      <c r="H769" s="114"/>
      <c r="I769" s="114"/>
      <c r="J769" s="114"/>
      <c r="K769" s="114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  <c r="AA769" s="187"/>
      <c r="AB769" s="187"/>
      <c r="AC769" s="187"/>
      <c r="AD769" s="187"/>
    </row>
    <row r="770">
      <c r="A770" s="114"/>
      <c r="B770" s="114"/>
      <c r="C770" s="114"/>
      <c r="D770" s="113"/>
      <c r="E770" s="114"/>
      <c r="F770" s="114"/>
      <c r="G770" s="114"/>
      <c r="H770" s="114"/>
      <c r="I770" s="114"/>
      <c r="J770" s="114"/>
      <c r="K770" s="114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  <c r="AA770" s="187"/>
      <c r="AB770" s="187"/>
      <c r="AC770" s="187"/>
      <c r="AD770" s="187"/>
    </row>
    <row r="771">
      <c r="A771" s="114"/>
      <c r="B771" s="114"/>
      <c r="C771" s="114"/>
      <c r="D771" s="113"/>
      <c r="E771" s="114"/>
      <c r="F771" s="114"/>
      <c r="G771" s="114"/>
      <c r="H771" s="114"/>
      <c r="I771" s="114"/>
      <c r="J771" s="114"/>
      <c r="K771" s="114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  <c r="AA771" s="187"/>
      <c r="AB771" s="187"/>
      <c r="AC771" s="187"/>
      <c r="AD771" s="187"/>
    </row>
    <row r="772">
      <c r="A772" s="114"/>
      <c r="B772" s="114"/>
      <c r="C772" s="114"/>
      <c r="D772" s="113"/>
      <c r="E772" s="114"/>
      <c r="F772" s="114"/>
      <c r="G772" s="114"/>
      <c r="H772" s="114"/>
      <c r="I772" s="114"/>
      <c r="J772" s="114"/>
      <c r="K772" s="114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  <c r="AA772" s="187"/>
      <c r="AB772" s="187"/>
      <c r="AC772" s="187"/>
      <c r="AD772" s="187"/>
    </row>
    <row r="773">
      <c r="A773" s="114"/>
      <c r="B773" s="114"/>
      <c r="C773" s="114"/>
      <c r="D773" s="113"/>
      <c r="E773" s="114"/>
      <c r="F773" s="114"/>
      <c r="G773" s="114"/>
      <c r="H773" s="114"/>
      <c r="I773" s="114"/>
      <c r="J773" s="114"/>
      <c r="K773" s="114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  <c r="AA773" s="187"/>
      <c r="AB773" s="187"/>
      <c r="AC773" s="187"/>
      <c r="AD773" s="187"/>
    </row>
    <row r="774">
      <c r="A774" s="114"/>
      <c r="B774" s="114"/>
      <c r="C774" s="114"/>
      <c r="D774" s="113"/>
      <c r="E774" s="114"/>
      <c r="F774" s="114"/>
      <c r="G774" s="114"/>
      <c r="H774" s="114"/>
      <c r="I774" s="114"/>
      <c r="J774" s="114"/>
      <c r="K774" s="114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  <c r="AA774" s="187"/>
      <c r="AB774" s="187"/>
      <c r="AC774" s="187"/>
      <c r="AD774" s="187"/>
    </row>
    <row r="775">
      <c r="A775" s="114"/>
      <c r="B775" s="114"/>
      <c r="C775" s="114"/>
      <c r="D775" s="113"/>
      <c r="E775" s="114"/>
      <c r="F775" s="114"/>
      <c r="G775" s="114"/>
      <c r="H775" s="114"/>
      <c r="I775" s="114"/>
      <c r="J775" s="114"/>
      <c r="K775" s="114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  <c r="AA775" s="187"/>
      <c r="AB775" s="187"/>
      <c r="AC775" s="187"/>
      <c r="AD775" s="187"/>
    </row>
    <row r="776">
      <c r="A776" s="114"/>
      <c r="B776" s="114"/>
      <c r="C776" s="114"/>
      <c r="D776" s="113"/>
      <c r="E776" s="114"/>
      <c r="F776" s="114"/>
      <c r="G776" s="114"/>
      <c r="H776" s="114"/>
      <c r="I776" s="114"/>
      <c r="J776" s="114"/>
      <c r="K776" s="114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  <c r="AA776" s="187"/>
      <c r="AB776" s="187"/>
      <c r="AC776" s="187"/>
      <c r="AD776" s="187"/>
    </row>
    <row r="777">
      <c r="A777" s="114"/>
      <c r="B777" s="114"/>
      <c r="C777" s="114"/>
      <c r="D777" s="113"/>
      <c r="E777" s="114"/>
      <c r="F777" s="114"/>
      <c r="G777" s="114"/>
      <c r="H777" s="114"/>
      <c r="I777" s="114"/>
      <c r="J777" s="114"/>
      <c r="K777" s="114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  <c r="AA777" s="187"/>
      <c r="AB777" s="187"/>
      <c r="AC777" s="187"/>
      <c r="AD777" s="187"/>
    </row>
    <row r="778">
      <c r="A778" s="114"/>
      <c r="B778" s="114"/>
      <c r="C778" s="114"/>
      <c r="D778" s="113"/>
      <c r="E778" s="114"/>
      <c r="F778" s="114"/>
      <c r="G778" s="114"/>
      <c r="H778" s="114"/>
      <c r="I778" s="114"/>
      <c r="J778" s="114"/>
      <c r="K778" s="114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  <c r="AA778" s="187"/>
      <c r="AB778" s="187"/>
      <c r="AC778" s="187"/>
      <c r="AD778" s="187"/>
    </row>
    <row r="779">
      <c r="A779" s="114"/>
      <c r="B779" s="114"/>
      <c r="C779" s="114"/>
      <c r="D779" s="113"/>
      <c r="E779" s="114"/>
      <c r="F779" s="114"/>
      <c r="G779" s="114"/>
      <c r="H779" s="114"/>
      <c r="I779" s="114"/>
      <c r="J779" s="114"/>
      <c r="K779" s="114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  <c r="AA779" s="187"/>
      <c r="AB779" s="187"/>
      <c r="AC779" s="187"/>
      <c r="AD779" s="187"/>
    </row>
    <row r="780">
      <c r="A780" s="114"/>
      <c r="B780" s="114"/>
      <c r="C780" s="114"/>
      <c r="D780" s="113"/>
      <c r="E780" s="114"/>
      <c r="F780" s="114"/>
      <c r="G780" s="114"/>
      <c r="H780" s="114"/>
      <c r="I780" s="114"/>
      <c r="J780" s="114"/>
      <c r="K780" s="114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  <c r="AA780" s="187"/>
      <c r="AB780" s="187"/>
      <c r="AC780" s="187"/>
      <c r="AD780" s="187"/>
    </row>
    <row r="781">
      <c r="A781" s="114"/>
      <c r="B781" s="114"/>
      <c r="C781" s="114"/>
      <c r="D781" s="113"/>
      <c r="E781" s="114"/>
      <c r="F781" s="114"/>
      <c r="G781" s="114"/>
      <c r="H781" s="114"/>
      <c r="I781" s="114"/>
      <c r="J781" s="114"/>
      <c r="K781" s="114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  <c r="AA781" s="187"/>
      <c r="AB781" s="187"/>
      <c r="AC781" s="187"/>
      <c r="AD781" s="187"/>
    </row>
    <row r="782">
      <c r="A782" s="114"/>
      <c r="B782" s="114"/>
      <c r="C782" s="114"/>
      <c r="D782" s="113"/>
      <c r="E782" s="114"/>
      <c r="F782" s="114"/>
      <c r="G782" s="114"/>
      <c r="H782" s="114"/>
      <c r="I782" s="114"/>
      <c r="J782" s="114"/>
      <c r="K782" s="114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  <c r="AA782" s="187"/>
      <c r="AB782" s="187"/>
      <c r="AC782" s="187"/>
      <c r="AD782" s="187"/>
    </row>
    <row r="783">
      <c r="A783" s="114"/>
      <c r="B783" s="114"/>
      <c r="C783" s="114"/>
      <c r="D783" s="113"/>
      <c r="E783" s="114"/>
      <c r="F783" s="114"/>
      <c r="G783" s="114"/>
      <c r="H783" s="114"/>
      <c r="I783" s="114"/>
      <c r="J783" s="114"/>
      <c r="K783" s="114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  <c r="AA783" s="187"/>
      <c r="AB783" s="187"/>
      <c r="AC783" s="187"/>
      <c r="AD783" s="187"/>
    </row>
    <row r="784">
      <c r="A784" s="114"/>
      <c r="B784" s="114"/>
      <c r="C784" s="114"/>
      <c r="D784" s="113"/>
      <c r="E784" s="114"/>
      <c r="F784" s="114"/>
      <c r="G784" s="114"/>
      <c r="H784" s="114"/>
      <c r="I784" s="114"/>
      <c r="J784" s="114"/>
      <c r="K784" s="114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  <c r="AA784" s="187"/>
      <c r="AB784" s="187"/>
      <c r="AC784" s="187"/>
      <c r="AD784" s="187"/>
    </row>
    <row r="785">
      <c r="A785" s="114"/>
      <c r="B785" s="114"/>
      <c r="C785" s="114"/>
      <c r="D785" s="113"/>
      <c r="E785" s="114"/>
      <c r="F785" s="114"/>
      <c r="G785" s="114"/>
      <c r="H785" s="114"/>
      <c r="I785" s="114"/>
      <c r="J785" s="114"/>
      <c r="K785" s="114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  <c r="AA785" s="187"/>
      <c r="AB785" s="187"/>
      <c r="AC785" s="187"/>
      <c r="AD785" s="187"/>
    </row>
    <row r="786">
      <c r="A786" s="114"/>
      <c r="B786" s="114"/>
      <c r="C786" s="114"/>
      <c r="D786" s="113"/>
      <c r="E786" s="114"/>
      <c r="F786" s="114"/>
      <c r="G786" s="114"/>
      <c r="H786" s="114"/>
      <c r="I786" s="114"/>
      <c r="J786" s="114"/>
      <c r="K786" s="114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  <c r="AA786" s="187"/>
      <c r="AB786" s="187"/>
      <c r="AC786" s="187"/>
      <c r="AD786" s="187"/>
    </row>
    <row r="787">
      <c r="A787" s="114"/>
      <c r="B787" s="114"/>
      <c r="C787" s="114"/>
      <c r="D787" s="113"/>
      <c r="E787" s="114"/>
      <c r="F787" s="114"/>
      <c r="G787" s="114"/>
      <c r="H787" s="114"/>
      <c r="I787" s="114"/>
      <c r="J787" s="114"/>
      <c r="K787" s="114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  <c r="AA787" s="187"/>
      <c r="AB787" s="187"/>
      <c r="AC787" s="187"/>
      <c r="AD787" s="187"/>
    </row>
    <row r="788">
      <c r="A788" s="114"/>
      <c r="B788" s="114"/>
      <c r="C788" s="114"/>
      <c r="D788" s="113"/>
      <c r="E788" s="114"/>
      <c r="F788" s="114"/>
      <c r="G788" s="114"/>
      <c r="H788" s="114"/>
      <c r="I788" s="114"/>
      <c r="J788" s="114"/>
      <c r="K788" s="114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  <c r="AA788" s="187"/>
      <c r="AB788" s="187"/>
      <c r="AC788" s="187"/>
      <c r="AD788" s="187"/>
    </row>
    <row r="789">
      <c r="A789" s="114"/>
      <c r="B789" s="114"/>
      <c r="C789" s="114"/>
      <c r="D789" s="113"/>
      <c r="E789" s="114"/>
      <c r="F789" s="114"/>
      <c r="G789" s="114"/>
      <c r="H789" s="114"/>
      <c r="I789" s="114"/>
      <c r="J789" s="114"/>
      <c r="K789" s="114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  <c r="AA789" s="187"/>
      <c r="AB789" s="187"/>
      <c r="AC789" s="187"/>
      <c r="AD789" s="187"/>
    </row>
    <row r="790">
      <c r="A790" s="114"/>
      <c r="B790" s="114"/>
      <c r="C790" s="114"/>
      <c r="D790" s="113"/>
      <c r="E790" s="114"/>
      <c r="F790" s="114"/>
      <c r="G790" s="114"/>
      <c r="H790" s="114"/>
      <c r="I790" s="114"/>
      <c r="J790" s="114"/>
      <c r="K790" s="114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  <c r="AA790" s="187"/>
      <c r="AB790" s="187"/>
      <c r="AC790" s="187"/>
      <c r="AD790" s="187"/>
    </row>
    <row r="791">
      <c r="A791" s="114"/>
      <c r="B791" s="114"/>
      <c r="C791" s="114"/>
      <c r="D791" s="113"/>
      <c r="E791" s="114"/>
      <c r="F791" s="114"/>
      <c r="G791" s="114"/>
      <c r="H791" s="114"/>
      <c r="I791" s="114"/>
      <c r="J791" s="114"/>
      <c r="K791" s="114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  <c r="AA791" s="187"/>
      <c r="AB791" s="187"/>
      <c r="AC791" s="187"/>
      <c r="AD791" s="187"/>
    </row>
    <row r="792">
      <c r="A792" s="114"/>
      <c r="B792" s="114"/>
      <c r="C792" s="114"/>
      <c r="D792" s="113"/>
      <c r="E792" s="114"/>
      <c r="F792" s="114"/>
      <c r="G792" s="114"/>
      <c r="H792" s="114"/>
      <c r="I792" s="114"/>
      <c r="J792" s="114"/>
      <c r="K792" s="114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  <c r="AA792" s="187"/>
      <c r="AB792" s="187"/>
      <c r="AC792" s="187"/>
      <c r="AD792" s="187"/>
    </row>
    <row r="793">
      <c r="A793" s="114"/>
      <c r="B793" s="114"/>
      <c r="C793" s="114"/>
      <c r="D793" s="113"/>
      <c r="E793" s="114"/>
      <c r="F793" s="114"/>
      <c r="G793" s="114"/>
      <c r="H793" s="114"/>
      <c r="I793" s="114"/>
      <c r="J793" s="114"/>
      <c r="K793" s="114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  <c r="AA793" s="187"/>
      <c r="AB793" s="187"/>
      <c r="AC793" s="187"/>
      <c r="AD793" s="187"/>
    </row>
    <row r="794">
      <c r="A794" s="114"/>
      <c r="B794" s="114"/>
      <c r="C794" s="114"/>
      <c r="D794" s="113"/>
      <c r="E794" s="114"/>
      <c r="F794" s="114"/>
      <c r="G794" s="114"/>
      <c r="H794" s="114"/>
      <c r="I794" s="114"/>
      <c r="J794" s="114"/>
      <c r="K794" s="114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  <c r="AA794" s="187"/>
      <c r="AB794" s="187"/>
      <c r="AC794" s="187"/>
      <c r="AD794" s="187"/>
    </row>
    <row r="795">
      <c r="A795" s="114"/>
      <c r="B795" s="114"/>
      <c r="C795" s="114"/>
      <c r="D795" s="113"/>
      <c r="E795" s="114"/>
      <c r="F795" s="114"/>
      <c r="G795" s="114"/>
      <c r="H795" s="114"/>
      <c r="I795" s="114"/>
      <c r="J795" s="114"/>
      <c r="K795" s="114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  <c r="AA795" s="187"/>
      <c r="AB795" s="187"/>
      <c r="AC795" s="187"/>
      <c r="AD795" s="187"/>
    </row>
    <row r="796">
      <c r="A796" s="114"/>
      <c r="B796" s="114"/>
      <c r="C796" s="114"/>
      <c r="D796" s="113"/>
      <c r="E796" s="114"/>
      <c r="F796" s="114"/>
      <c r="G796" s="114"/>
      <c r="H796" s="114"/>
      <c r="I796" s="114"/>
      <c r="J796" s="114"/>
      <c r="K796" s="114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  <c r="AA796" s="187"/>
      <c r="AB796" s="187"/>
      <c r="AC796" s="187"/>
      <c r="AD796" s="187"/>
    </row>
    <row r="797">
      <c r="A797" s="114"/>
      <c r="B797" s="114"/>
      <c r="C797" s="114"/>
      <c r="D797" s="113"/>
      <c r="E797" s="114"/>
      <c r="F797" s="114"/>
      <c r="G797" s="114"/>
      <c r="H797" s="114"/>
      <c r="I797" s="114"/>
      <c r="J797" s="114"/>
      <c r="K797" s="114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  <c r="AA797" s="187"/>
      <c r="AB797" s="187"/>
      <c r="AC797" s="187"/>
      <c r="AD797" s="187"/>
    </row>
    <row r="798">
      <c r="A798" s="114"/>
      <c r="B798" s="114"/>
      <c r="C798" s="114"/>
      <c r="D798" s="113"/>
      <c r="E798" s="114"/>
      <c r="F798" s="114"/>
      <c r="G798" s="114"/>
      <c r="H798" s="114"/>
      <c r="I798" s="114"/>
      <c r="J798" s="114"/>
      <c r="K798" s="114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  <c r="AA798" s="187"/>
      <c r="AB798" s="187"/>
      <c r="AC798" s="187"/>
      <c r="AD798" s="187"/>
    </row>
    <row r="799">
      <c r="A799" s="114"/>
      <c r="B799" s="114"/>
      <c r="C799" s="114"/>
      <c r="D799" s="113"/>
      <c r="E799" s="114"/>
      <c r="F799" s="114"/>
      <c r="G799" s="114"/>
      <c r="H799" s="114"/>
      <c r="I799" s="114"/>
      <c r="J799" s="114"/>
      <c r="K799" s="114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  <c r="AA799" s="187"/>
      <c r="AB799" s="187"/>
      <c r="AC799" s="187"/>
      <c r="AD799" s="187"/>
    </row>
    <row r="800">
      <c r="A800" s="114"/>
      <c r="B800" s="114"/>
      <c r="C800" s="114"/>
      <c r="D800" s="113"/>
      <c r="E800" s="114"/>
      <c r="F800" s="114"/>
      <c r="G800" s="114"/>
      <c r="H800" s="114"/>
      <c r="I800" s="114"/>
      <c r="J800" s="114"/>
      <c r="K800" s="114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  <c r="AA800" s="187"/>
      <c r="AB800" s="187"/>
      <c r="AC800" s="187"/>
      <c r="AD800" s="187"/>
    </row>
    <row r="801">
      <c r="A801" s="114"/>
      <c r="B801" s="114"/>
      <c r="C801" s="114"/>
      <c r="D801" s="113"/>
      <c r="E801" s="114"/>
      <c r="F801" s="114"/>
      <c r="G801" s="114"/>
      <c r="H801" s="114"/>
      <c r="I801" s="114"/>
      <c r="J801" s="114"/>
      <c r="K801" s="114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  <c r="AA801" s="187"/>
      <c r="AB801" s="187"/>
      <c r="AC801" s="187"/>
      <c r="AD801" s="187"/>
    </row>
    <row r="802">
      <c r="A802" s="114"/>
      <c r="B802" s="114"/>
      <c r="C802" s="114"/>
      <c r="D802" s="113"/>
      <c r="E802" s="114"/>
      <c r="F802" s="114"/>
      <c r="G802" s="114"/>
      <c r="H802" s="114"/>
      <c r="I802" s="114"/>
      <c r="J802" s="114"/>
      <c r="K802" s="114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  <c r="AA802" s="187"/>
      <c r="AB802" s="187"/>
      <c r="AC802" s="187"/>
      <c r="AD802" s="187"/>
    </row>
    <row r="803">
      <c r="A803" s="114"/>
      <c r="B803" s="114"/>
      <c r="C803" s="114"/>
      <c r="D803" s="113"/>
      <c r="E803" s="114"/>
      <c r="F803" s="114"/>
      <c r="G803" s="114"/>
      <c r="H803" s="114"/>
      <c r="I803" s="114"/>
      <c r="J803" s="114"/>
      <c r="K803" s="114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  <c r="AA803" s="187"/>
      <c r="AB803" s="187"/>
      <c r="AC803" s="187"/>
      <c r="AD803" s="187"/>
    </row>
    <row r="804">
      <c r="A804" s="114"/>
      <c r="B804" s="114"/>
      <c r="C804" s="114"/>
      <c r="D804" s="113"/>
      <c r="E804" s="114"/>
      <c r="F804" s="114"/>
      <c r="G804" s="114"/>
      <c r="H804" s="114"/>
      <c r="I804" s="114"/>
      <c r="J804" s="114"/>
      <c r="K804" s="114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  <c r="AA804" s="187"/>
      <c r="AB804" s="187"/>
      <c r="AC804" s="187"/>
      <c r="AD804" s="187"/>
    </row>
    <row r="805">
      <c r="A805" s="114"/>
      <c r="B805" s="114"/>
      <c r="C805" s="114"/>
      <c r="D805" s="113"/>
      <c r="E805" s="114"/>
      <c r="F805" s="114"/>
      <c r="G805" s="114"/>
      <c r="H805" s="114"/>
      <c r="I805" s="114"/>
      <c r="J805" s="114"/>
      <c r="K805" s="114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  <c r="AA805" s="187"/>
      <c r="AB805" s="187"/>
      <c r="AC805" s="187"/>
      <c r="AD805" s="187"/>
    </row>
    <row r="806">
      <c r="A806" s="114"/>
      <c r="B806" s="114"/>
      <c r="C806" s="114"/>
      <c r="D806" s="113"/>
      <c r="E806" s="114"/>
      <c r="F806" s="114"/>
      <c r="G806" s="114"/>
      <c r="H806" s="114"/>
      <c r="I806" s="114"/>
      <c r="J806" s="114"/>
      <c r="K806" s="114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  <c r="AA806" s="187"/>
      <c r="AB806" s="187"/>
      <c r="AC806" s="187"/>
      <c r="AD806" s="187"/>
    </row>
    <row r="807">
      <c r="A807" s="114"/>
      <c r="B807" s="114"/>
      <c r="C807" s="114"/>
      <c r="D807" s="113"/>
      <c r="E807" s="114"/>
      <c r="F807" s="114"/>
      <c r="G807" s="114"/>
      <c r="H807" s="114"/>
      <c r="I807" s="114"/>
      <c r="J807" s="114"/>
      <c r="K807" s="114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  <c r="AA807" s="187"/>
      <c r="AB807" s="187"/>
      <c r="AC807" s="187"/>
      <c r="AD807" s="187"/>
    </row>
    <row r="808">
      <c r="A808" s="114"/>
      <c r="B808" s="114"/>
      <c r="C808" s="114"/>
      <c r="D808" s="113"/>
      <c r="E808" s="114"/>
      <c r="F808" s="114"/>
      <c r="G808" s="114"/>
      <c r="H808" s="114"/>
      <c r="I808" s="114"/>
      <c r="J808" s="114"/>
      <c r="K808" s="114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  <c r="AA808" s="187"/>
      <c r="AB808" s="187"/>
      <c r="AC808" s="187"/>
      <c r="AD808" s="187"/>
    </row>
    <row r="809">
      <c r="A809" s="114"/>
      <c r="B809" s="114"/>
      <c r="C809" s="114"/>
      <c r="D809" s="113"/>
      <c r="E809" s="114"/>
      <c r="F809" s="114"/>
      <c r="G809" s="114"/>
      <c r="H809" s="114"/>
      <c r="I809" s="114"/>
      <c r="J809" s="114"/>
      <c r="K809" s="114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  <c r="AA809" s="187"/>
      <c r="AB809" s="187"/>
      <c r="AC809" s="187"/>
      <c r="AD809" s="187"/>
    </row>
    <row r="810">
      <c r="A810" s="114"/>
      <c r="B810" s="114"/>
      <c r="C810" s="114"/>
      <c r="D810" s="113"/>
      <c r="E810" s="114"/>
      <c r="F810" s="114"/>
      <c r="G810" s="114"/>
      <c r="H810" s="114"/>
      <c r="I810" s="114"/>
      <c r="J810" s="114"/>
      <c r="K810" s="114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  <c r="AA810" s="187"/>
      <c r="AB810" s="187"/>
      <c r="AC810" s="187"/>
      <c r="AD810" s="187"/>
    </row>
    <row r="811">
      <c r="A811" s="114"/>
      <c r="B811" s="114"/>
      <c r="C811" s="114"/>
      <c r="D811" s="113"/>
      <c r="E811" s="114"/>
      <c r="F811" s="114"/>
      <c r="G811" s="114"/>
      <c r="H811" s="114"/>
      <c r="I811" s="114"/>
      <c r="J811" s="114"/>
      <c r="K811" s="114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  <c r="AA811" s="187"/>
      <c r="AB811" s="187"/>
      <c r="AC811" s="187"/>
      <c r="AD811" s="187"/>
    </row>
    <row r="812">
      <c r="A812" s="114"/>
      <c r="B812" s="114"/>
      <c r="C812" s="114"/>
      <c r="D812" s="113"/>
      <c r="E812" s="114"/>
      <c r="F812" s="114"/>
      <c r="G812" s="114"/>
      <c r="H812" s="114"/>
      <c r="I812" s="114"/>
      <c r="J812" s="114"/>
      <c r="K812" s="114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  <c r="AA812" s="187"/>
      <c r="AB812" s="187"/>
      <c r="AC812" s="187"/>
      <c r="AD812" s="187"/>
    </row>
    <row r="813">
      <c r="A813" s="114"/>
      <c r="B813" s="114"/>
      <c r="C813" s="114"/>
      <c r="D813" s="113"/>
      <c r="E813" s="114"/>
      <c r="F813" s="114"/>
      <c r="G813" s="114"/>
      <c r="H813" s="114"/>
      <c r="I813" s="114"/>
      <c r="J813" s="114"/>
      <c r="K813" s="114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  <c r="AA813" s="187"/>
      <c r="AB813" s="187"/>
      <c r="AC813" s="187"/>
      <c r="AD813" s="187"/>
    </row>
    <row r="814">
      <c r="A814" s="114"/>
      <c r="B814" s="114"/>
      <c r="C814" s="114"/>
      <c r="D814" s="113"/>
      <c r="E814" s="114"/>
      <c r="F814" s="114"/>
      <c r="G814" s="114"/>
      <c r="H814" s="114"/>
      <c r="I814" s="114"/>
      <c r="J814" s="114"/>
      <c r="K814" s="114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  <c r="AA814" s="187"/>
      <c r="AB814" s="187"/>
      <c r="AC814" s="187"/>
      <c r="AD814" s="187"/>
    </row>
    <row r="815">
      <c r="A815" s="114"/>
      <c r="B815" s="114"/>
      <c r="C815" s="114"/>
      <c r="D815" s="113"/>
      <c r="E815" s="114"/>
      <c r="F815" s="114"/>
      <c r="G815" s="114"/>
      <c r="H815" s="114"/>
      <c r="I815" s="114"/>
      <c r="J815" s="114"/>
      <c r="K815" s="114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  <c r="AA815" s="187"/>
      <c r="AB815" s="187"/>
      <c r="AC815" s="187"/>
      <c r="AD815" s="187"/>
    </row>
    <row r="816">
      <c r="A816" s="114"/>
      <c r="B816" s="114"/>
      <c r="C816" s="114"/>
      <c r="D816" s="113"/>
      <c r="E816" s="114"/>
      <c r="F816" s="114"/>
      <c r="G816" s="114"/>
      <c r="H816" s="114"/>
      <c r="I816" s="114"/>
      <c r="J816" s="114"/>
      <c r="K816" s="114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  <c r="AA816" s="187"/>
      <c r="AB816" s="187"/>
      <c r="AC816" s="187"/>
      <c r="AD816" s="187"/>
    </row>
    <row r="817">
      <c r="A817" s="114"/>
      <c r="B817" s="114"/>
      <c r="C817" s="114"/>
      <c r="D817" s="113"/>
      <c r="E817" s="114"/>
      <c r="F817" s="114"/>
      <c r="G817" s="114"/>
      <c r="H817" s="114"/>
      <c r="I817" s="114"/>
      <c r="J817" s="114"/>
      <c r="K817" s="114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  <c r="AA817" s="187"/>
      <c r="AB817" s="187"/>
      <c r="AC817" s="187"/>
      <c r="AD817" s="187"/>
    </row>
    <row r="818">
      <c r="A818" s="114"/>
      <c r="B818" s="114"/>
      <c r="C818" s="114"/>
      <c r="D818" s="113"/>
      <c r="E818" s="114"/>
      <c r="F818" s="114"/>
      <c r="G818" s="114"/>
      <c r="H818" s="114"/>
      <c r="I818" s="114"/>
      <c r="J818" s="114"/>
      <c r="K818" s="114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  <c r="AA818" s="187"/>
      <c r="AB818" s="187"/>
      <c r="AC818" s="187"/>
      <c r="AD818" s="187"/>
    </row>
    <row r="819">
      <c r="A819" s="114"/>
      <c r="B819" s="114"/>
      <c r="C819" s="114"/>
      <c r="D819" s="113"/>
      <c r="E819" s="114"/>
      <c r="F819" s="114"/>
      <c r="G819" s="114"/>
      <c r="H819" s="114"/>
      <c r="I819" s="114"/>
      <c r="J819" s="114"/>
      <c r="K819" s="114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  <c r="AA819" s="187"/>
      <c r="AB819" s="187"/>
      <c r="AC819" s="187"/>
      <c r="AD819" s="187"/>
    </row>
    <row r="820">
      <c r="A820" s="114"/>
      <c r="B820" s="114"/>
      <c r="C820" s="114"/>
      <c r="D820" s="113"/>
      <c r="E820" s="114"/>
      <c r="F820" s="114"/>
      <c r="G820" s="114"/>
      <c r="H820" s="114"/>
      <c r="I820" s="114"/>
      <c r="J820" s="114"/>
      <c r="K820" s="114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  <c r="AA820" s="187"/>
      <c r="AB820" s="187"/>
      <c r="AC820" s="187"/>
      <c r="AD820" s="187"/>
    </row>
    <row r="821">
      <c r="A821" s="114"/>
      <c r="B821" s="114"/>
      <c r="C821" s="114"/>
      <c r="D821" s="113"/>
      <c r="E821" s="114"/>
      <c r="F821" s="114"/>
      <c r="G821" s="114"/>
      <c r="H821" s="114"/>
      <c r="I821" s="114"/>
      <c r="J821" s="114"/>
      <c r="K821" s="114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  <c r="AA821" s="187"/>
      <c r="AB821" s="187"/>
      <c r="AC821" s="187"/>
      <c r="AD821" s="187"/>
    </row>
    <row r="822">
      <c r="A822" s="114"/>
      <c r="B822" s="114"/>
      <c r="C822" s="114"/>
      <c r="D822" s="113"/>
      <c r="E822" s="114"/>
      <c r="F822" s="114"/>
      <c r="G822" s="114"/>
      <c r="H822" s="114"/>
      <c r="I822" s="114"/>
      <c r="J822" s="114"/>
      <c r="K822" s="114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  <c r="AA822" s="187"/>
      <c r="AB822" s="187"/>
      <c r="AC822" s="187"/>
      <c r="AD822" s="187"/>
    </row>
    <row r="823">
      <c r="A823" s="114"/>
      <c r="B823" s="114"/>
      <c r="C823" s="114"/>
      <c r="D823" s="113"/>
      <c r="E823" s="114"/>
      <c r="F823" s="114"/>
      <c r="G823" s="114"/>
      <c r="H823" s="114"/>
      <c r="I823" s="114"/>
      <c r="J823" s="114"/>
      <c r="K823" s="114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  <c r="AA823" s="187"/>
      <c r="AB823" s="187"/>
      <c r="AC823" s="187"/>
      <c r="AD823" s="187"/>
    </row>
    <row r="824">
      <c r="A824" s="114"/>
      <c r="B824" s="114"/>
      <c r="C824" s="114"/>
      <c r="D824" s="113"/>
      <c r="E824" s="114"/>
      <c r="F824" s="114"/>
      <c r="G824" s="114"/>
      <c r="H824" s="114"/>
      <c r="I824" s="114"/>
      <c r="J824" s="114"/>
      <c r="K824" s="114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  <c r="AA824" s="187"/>
      <c r="AB824" s="187"/>
      <c r="AC824" s="187"/>
      <c r="AD824" s="187"/>
    </row>
    <row r="825">
      <c r="A825" s="114"/>
      <c r="B825" s="114"/>
      <c r="C825" s="114"/>
      <c r="D825" s="113"/>
      <c r="E825" s="114"/>
      <c r="F825" s="114"/>
      <c r="G825" s="114"/>
      <c r="H825" s="114"/>
      <c r="I825" s="114"/>
      <c r="J825" s="114"/>
      <c r="K825" s="114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  <c r="AA825" s="187"/>
      <c r="AB825" s="187"/>
      <c r="AC825" s="187"/>
      <c r="AD825" s="187"/>
    </row>
    <row r="826">
      <c r="A826" s="114"/>
      <c r="B826" s="114"/>
      <c r="C826" s="114"/>
      <c r="D826" s="113"/>
      <c r="E826" s="114"/>
      <c r="F826" s="114"/>
      <c r="G826" s="114"/>
      <c r="H826" s="114"/>
      <c r="I826" s="114"/>
      <c r="J826" s="114"/>
      <c r="K826" s="114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  <c r="AA826" s="187"/>
      <c r="AB826" s="187"/>
      <c r="AC826" s="187"/>
      <c r="AD826" s="187"/>
    </row>
    <row r="827">
      <c r="A827" s="114"/>
      <c r="B827" s="114"/>
      <c r="C827" s="114"/>
      <c r="D827" s="113"/>
      <c r="E827" s="114"/>
      <c r="F827" s="114"/>
      <c r="G827" s="114"/>
      <c r="H827" s="114"/>
      <c r="I827" s="114"/>
      <c r="J827" s="114"/>
      <c r="K827" s="114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  <c r="AA827" s="187"/>
      <c r="AB827" s="187"/>
      <c r="AC827" s="187"/>
      <c r="AD827" s="187"/>
    </row>
    <row r="828">
      <c r="A828" s="114"/>
      <c r="B828" s="114"/>
      <c r="C828" s="114"/>
      <c r="D828" s="113"/>
      <c r="E828" s="114"/>
      <c r="F828" s="114"/>
      <c r="G828" s="114"/>
      <c r="H828" s="114"/>
      <c r="I828" s="114"/>
      <c r="J828" s="114"/>
      <c r="K828" s="114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  <c r="AA828" s="187"/>
      <c r="AB828" s="187"/>
      <c r="AC828" s="187"/>
      <c r="AD828" s="187"/>
    </row>
    <row r="829">
      <c r="A829" s="114"/>
      <c r="B829" s="114"/>
      <c r="C829" s="114"/>
      <c r="D829" s="113"/>
      <c r="E829" s="114"/>
      <c r="F829" s="114"/>
      <c r="G829" s="114"/>
      <c r="H829" s="114"/>
      <c r="I829" s="114"/>
      <c r="J829" s="114"/>
      <c r="K829" s="114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  <c r="AA829" s="187"/>
      <c r="AB829" s="187"/>
      <c r="AC829" s="187"/>
      <c r="AD829" s="187"/>
    </row>
    <row r="830">
      <c r="A830" s="114"/>
      <c r="B830" s="114"/>
      <c r="C830" s="114"/>
      <c r="D830" s="113"/>
      <c r="E830" s="114"/>
      <c r="F830" s="114"/>
      <c r="G830" s="114"/>
      <c r="H830" s="114"/>
      <c r="I830" s="114"/>
      <c r="J830" s="114"/>
      <c r="K830" s="114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  <c r="AA830" s="187"/>
      <c r="AB830" s="187"/>
      <c r="AC830" s="187"/>
      <c r="AD830" s="187"/>
    </row>
    <row r="831">
      <c r="A831" s="114"/>
      <c r="B831" s="114"/>
      <c r="C831" s="114"/>
      <c r="D831" s="113"/>
      <c r="E831" s="114"/>
      <c r="F831" s="114"/>
      <c r="G831" s="114"/>
      <c r="H831" s="114"/>
      <c r="I831" s="114"/>
      <c r="J831" s="114"/>
      <c r="K831" s="114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  <c r="AA831" s="187"/>
      <c r="AB831" s="187"/>
      <c r="AC831" s="187"/>
      <c r="AD831" s="187"/>
    </row>
    <row r="832">
      <c r="A832" s="114"/>
      <c r="B832" s="114"/>
      <c r="C832" s="114"/>
      <c r="D832" s="113"/>
      <c r="E832" s="114"/>
      <c r="F832" s="114"/>
      <c r="G832" s="114"/>
      <c r="H832" s="114"/>
      <c r="I832" s="114"/>
      <c r="J832" s="114"/>
      <c r="K832" s="114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  <c r="AA832" s="187"/>
      <c r="AB832" s="187"/>
      <c r="AC832" s="187"/>
      <c r="AD832" s="187"/>
    </row>
    <row r="833">
      <c r="A833" s="114"/>
      <c r="B833" s="114"/>
      <c r="C833" s="114"/>
      <c r="D833" s="113"/>
      <c r="E833" s="114"/>
      <c r="F833" s="114"/>
      <c r="G833" s="114"/>
      <c r="H833" s="114"/>
      <c r="I833" s="114"/>
      <c r="J833" s="114"/>
      <c r="K833" s="114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  <c r="AA833" s="187"/>
      <c r="AB833" s="187"/>
      <c r="AC833" s="187"/>
      <c r="AD833" s="187"/>
    </row>
    <row r="834">
      <c r="A834" s="114"/>
      <c r="B834" s="114"/>
      <c r="C834" s="114"/>
      <c r="D834" s="113"/>
      <c r="E834" s="114"/>
      <c r="F834" s="114"/>
      <c r="G834" s="114"/>
      <c r="H834" s="114"/>
      <c r="I834" s="114"/>
      <c r="J834" s="114"/>
      <c r="K834" s="114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  <c r="AA834" s="187"/>
      <c r="AB834" s="187"/>
      <c r="AC834" s="187"/>
      <c r="AD834" s="187"/>
    </row>
    <row r="835">
      <c r="A835" s="114"/>
      <c r="B835" s="114"/>
      <c r="C835" s="114"/>
      <c r="D835" s="113"/>
      <c r="E835" s="114"/>
      <c r="F835" s="114"/>
      <c r="G835" s="114"/>
      <c r="H835" s="114"/>
      <c r="I835" s="114"/>
      <c r="J835" s="114"/>
      <c r="K835" s="114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  <c r="AA835" s="187"/>
      <c r="AB835" s="187"/>
      <c r="AC835" s="187"/>
      <c r="AD835" s="187"/>
    </row>
    <row r="836">
      <c r="A836" s="114"/>
      <c r="B836" s="114"/>
      <c r="C836" s="114"/>
      <c r="D836" s="113"/>
      <c r="E836" s="114"/>
      <c r="F836" s="114"/>
      <c r="G836" s="114"/>
      <c r="H836" s="114"/>
      <c r="I836" s="114"/>
      <c r="J836" s="114"/>
      <c r="K836" s="114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  <c r="AA836" s="187"/>
      <c r="AB836" s="187"/>
      <c r="AC836" s="187"/>
      <c r="AD836" s="187"/>
    </row>
    <row r="837">
      <c r="A837" s="114"/>
      <c r="B837" s="114"/>
      <c r="C837" s="114"/>
      <c r="D837" s="113"/>
      <c r="E837" s="114"/>
      <c r="F837" s="114"/>
      <c r="G837" s="114"/>
      <c r="H837" s="114"/>
      <c r="I837" s="114"/>
      <c r="J837" s="114"/>
      <c r="K837" s="114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  <c r="AA837" s="187"/>
      <c r="AB837" s="187"/>
      <c r="AC837" s="187"/>
      <c r="AD837" s="187"/>
    </row>
    <row r="838">
      <c r="A838" s="114"/>
      <c r="B838" s="114"/>
      <c r="C838" s="114"/>
      <c r="D838" s="113"/>
      <c r="E838" s="114"/>
      <c r="F838" s="114"/>
      <c r="G838" s="114"/>
      <c r="H838" s="114"/>
      <c r="I838" s="114"/>
      <c r="J838" s="114"/>
      <c r="K838" s="114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  <c r="AA838" s="187"/>
      <c r="AB838" s="187"/>
      <c r="AC838" s="187"/>
      <c r="AD838" s="187"/>
    </row>
    <row r="839">
      <c r="A839" s="114"/>
      <c r="B839" s="114"/>
      <c r="C839" s="114"/>
      <c r="D839" s="113"/>
      <c r="E839" s="114"/>
      <c r="F839" s="114"/>
      <c r="G839" s="114"/>
      <c r="H839" s="114"/>
      <c r="I839" s="114"/>
      <c r="J839" s="114"/>
      <c r="K839" s="114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  <c r="AA839" s="187"/>
      <c r="AB839" s="187"/>
      <c r="AC839" s="187"/>
      <c r="AD839" s="187"/>
    </row>
    <row r="840">
      <c r="A840" s="114"/>
      <c r="B840" s="114"/>
      <c r="C840" s="114"/>
      <c r="D840" s="113"/>
      <c r="E840" s="114"/>
      <c r="F840" s="114"/>
      <c r="G840" s="114"/>
      <c r="H840" s="114"/>
      <c r="I840" s="114"/>
      <c r="J840" s="114"/>
      <c r="K840" s="114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  <c r="AA840" s="187"/>
      <c r="AB840" s="187"/>
      <c r="AC840" s="187"/>
      <c r="AD840" s="187"/>
    </row>
    <row r="841">
      <c r="A841" s="114"/>
      <c r="B841" s="114"/>
      <c r="C841" s="114"/>
      <c r="D841" s="113"/>
      <c r="E841" s="114"/>
      <c r="F841" s="114"/>
      <c r="G841" s="114"/>
      <c r="H841" s="114"/>
      <c r="I841" s="114"/>
      <c r="J841" s="114"/>
      <c r="K841" s="114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  <c r="AA841" s="187"/>
      <c r="AB841" s="187"/>
      <c r="AC841" s="187"/>
      <c r="AD841" s="187"/>
    </row>
    <row r="842">
      <c r="A842" s="114"/>
      <c r="B842" s="114"/>
      <c r="C842" s="114"/>
      <c r="D842" s="113"/>
      <c r="E842" s="114"/>
      <c r="F842" s="114"/>
      <c r="G842" s="114"/>
      <c r="H842" s="114"/>
      <c r="I842" s="114"/>
      <c r="J842" s="114"/>
      <c r="K842" s="114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  <c r="AA842" s="187"/>
      <c r="AB842" s="187"/>
      <c r="AC842" s="187"/>
      <c r="AD842" s="187"/>
    </row>
    <row r="843">
      <c r="A843" s="114"/>
      <c r="B843" s="114"/>
      <c r="C843" s="114"/>
      <c r="D843" s="113"/>
      <c r="E843" s="114"/>
      <c r="F843" s="114"/>
      <c r="G843" s="114"/>
      <c r="H843" s="114"/>
      <c r="I843" s="114"/>
      <c r="J843" s="114"/>
      <c r="K843" s="114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  <c r="AA843" s="187"/>
      <c r="AB843" s="187"/>
      <c r="AC843" s="187"/>
      <c r="AD843" s="187"/>
    </row>
    <row r="844">
      <c r="A844" s="114"/>
      <c r="B844" s="114"/>
      <c r="C844" s="114"/>
      <c r="D844" s="113"/>
      <c r="E844" s="114"/>
      <c r="F844" s="114"/>
      <c r="G844" s="114"/>
      <c r="H844" s="114"/>
      <c r="I844" s="114"/>
      <c r="J844" s="114"/>
      <c r="K844" s="114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  <c r="AA844" s="187"/>
      <c r="AB844" s="187"/>
      <c r="AC844" s="187"/>
      <c r="AD844" s="187"/>
    </row>
    <row r="845">
      <c r="A845" s="114"/>
      <c r="B845" s="114"/>
      <c r="C845" s="114"/>
      <c r="D845" s="113"/>
      <c r="E845" s="114"/>
      <c r="F845" s="114"/>
      <c r="G845" s="114"/>
      <c r="H845" s="114"/>
      <c r="I845" s="114"/>
      <c r="J845" s="114"/>
      <c r="K845" s="114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  <c r="AA845" s="187"/>
      <c r="AB845" s="187"/>
      <c r="AC845" s="187"/>
      <c r="AD845" s="187"/>
    </row>
    <row r="846">
      <c r="A846" s="114"/>
      <c r="B846" s="114"/>
      <c r="C846" s="114"/>
      <c r="D846" s="113"/>
      <c r="E846" s="114"/>
      <c r="F846" s="114"/>
      <c r="G846" s="114"/>
      <c r="H846" s="114"/>
      <c r="I846" s="114"/>
      <c r="J846" s="114"/>
      <c r="K846" s="114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  <c r="AA846" s="187"/>
      <c r="AB846" s="187"/>
      <c r="AC846" s="187"/>
      <c r="AD846" s="187"/>
    </row>
    <row r="847">
      <c r="A847" s="114"/>
      <c r="B847" s="114"/>
      <c r="C847" s="114"/>
      <c r="D847" s="113"/>
      <c r="E847" s="114"/>
      <c r="F847" s="114"/>
      <c r="G847" s="114"/>
      <c r="H847" s="114"/>
      <c r="I847" s="114"/>
      <c r="J847" s="114"/>
      <c r="K847" s="114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  <c r="AA847" s="187"/>
      <c r="AB847" s="187"/>
      <c r="AC847" s="187"/>
      <c r="AD847" s="187"/>
    </row>
    <row r="848">
      <c r="A848" s="114"/>
      <c r="B848" s="114"/>
      <c r="C848" s="114"/>
      <c r="D848" s="113"/>
      <c r="E848" s="114"/>
      <c r="F848" s="114"/>
      <c r="G848" s="114"/>
      <c r="H848" s="114"/>
      <c r="I848" s="114"/>
      <c r="J848" s="114"/>
      <c r="K848" s="114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  <c r="AA848" s="187"/>
      <c r="AB848" s="187"/>
      <c r="AC848" s="187"/>
      <c r="AD848" s="187"/>
    </row>
    <row r="849">
      <c r="A849" s="114"/>
      <c r="B849" s="114"/>
      <c r="C849" s="114"/>
      <c r="D849" s="113"/>
      <c r="E849" s="114"/>
      <c r="F849" s="114"/>
      <c r="G849" s="114"/>
      <c r="H849" s="114"/>
      <c r="I849" s="114"/>
      <c r="J849" s="114"/>
      <c r="K849" s="114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  <c r="AA849" s="187"/>
      <c r="AB849" s="187"/>
      <c r="AC849" s="187"/>
      <c r="AD849" s="187"/>
    </row>
    <row r="850">
      <c r="A850" s="114"/>
      <c r="B850" s="114"/>
      <c r="C850" s="114"/>
      <c r="D850" s="113"/>
      <c r="E850" s="114"/>
      <c r="F850" s="114"/>
      <c r="G850" s="114"/>
      <c r="H850" s="114"/>
      <c r="I850" s="114"/>
      <c r="J850" s="114"/>
      <c r="K850" s="114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  <c r="AA850" s="187"/>
      <c r="AB850" s="187"/>
      <c r="AC850" s="187"/>
      <c r="AD850" s="187"/>
    </row>
    <row r="851">
      <c r="A851" s="114"/>
      <c r="B851" s="114"/>
      <c r="C851" s="114"/>
      <c r="D851" s="113"/>
      <c r="E851" s="114"/>
      <c r="F851" s="114"/>
      <c r="G851" s="114"/>
      <c r="H851" s="114"/>
      <c r="I851" s="114"/>
      <c r="J851" s="114"/>
      <c r="K851" s="114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  <c r="AA851" s="187"/>
      <c r="AB851" s="187"/>
      <c r="AC851" s="187"/>
      <c r="AD851" s="187"/>
    </row>
    <row r="852">
      <c r="A852" s="114"/>
      <c r="B852" s="114"/>
      <c r="C852" s="114"/>
      <c r="D852" s="113"/>
      <c r="E852" s="114"/>
      <c r="F852" s="114"/>
      <c r="G852" s="114"/>
      <c r="H852" s="114"/>
      <c r="I852" s="114"/>
      <c r="J852" s="114"/>
      <c r="K852" s="114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  <c r="AA852" s="187"/>
      <c r="AB852" s="187"/>
      <c r="AC852" s="187"/>
      <c r="AD852" s="187"/>
    </row>
    <row r="853">
      <c r="A853" s="114"/>
      <c r="B853" s="114"/>
      <c r="C853" s="114"/>
      <c r="D853" s="113"/>
      <c r="E853" s="114"/>
      <c r="F853" s="114"/>
      <c r="G853" s="114"/>
      <c r="H853" s="114"/>
      <c r="I853" s="114"/>
      <c r="J853" s="114"/>
      <c r="K853" s="114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  <c r="AA853" s="187"/>
      <c r="AB853" s="187"/>
      <c r="AC853" s="187"/>
      <c r="AD853" s="187"/>
    </row>
    <row r="854">
      <c r="A854" s="114"/>
      <c r="B854" s="114"/>
      <c r="C854" s="114"/>
      <c r="D854" s="113"/>
      <c r="E854" s="114"/>
      <c r="F854" s="114"/>
      <c r="G854" s="114"/>
      <c r="H854" s="114"/>
      <c r="I854" s="114"/>
      <c r="J854" s="114"/>
      <c r="K854" s="114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  <c r="AA854" s="187"/>
      <c r="AB854" s="187"/>
      <c r="AC854" s="187"/>
      <c r="AD854" s="187"/>
    </row>
    <row r="855">
      <c r="A855" s="114"/>
      <c r="B855" s="114"/>
      <c r="C855" s="114"/>
      <c r="D855" s="113"/>
      <c r="E855" s="114"/>
      <c r="F855" s="114"/>
      <c r="G855" s="114"/>
      <c r="H855" s="114"/>
      <c r="I855" s="114"/>
      <c r="J855" s="114"/>
      <c r="K855" s="114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  <c r="AA855" s="187"/>
      <c r="AB855" s="187"/>
      <c r="AC855" s="187"/>
      <c r="AD855" s="187"/>
    </row>
    <row r="856">
      <c r="A856" s="114"/>
      <c r="B856" s="114"/>
      <c r="C856" s="114"/>
      <c r="D856" s="113"/>
      <c r="E856" s="114"/>
      <c r="F856" s="114"/>
      <c r="G856" s="114"/>
      <c r="H856" s="114"/>
      <c r="I856" s="114"/>
      <c r="J856" s="114"/>
      <c r="K856" s="114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  <c r="AA856" s="187"/>
      <c r="AB856" s="187"/>
      <c r="AC856" s="187"/>
      <c r="AD856" s="187"/>
    </row>
    <row r="857">
      <c r="A857" s="114"/>
      <c r="B857" s="114"/>
      <c r="C857" s="114"/>
      <c r="D857" s="113"/>
      <c r="E857" s="114"/>
      <c r="F857" s="114"/>
      <c r="G857" s="114"/>
      <c r="H857" s="114"/>
      <c r="I857" s="114"/>
      <c r="J857" s="114"/>
      <c r="K857" s="114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  <c r="AA857" s="187"/>
      <c r="AB857" s="187"/>
      <c r="AC857" s="187"/>
      <c r="AD857" s="187"/>
    </row>
    <row r="858">
      <c r="A858" s="114"/>
      <c r="B858" s="114"/>
      <c r="C858" s="114"/>
      <c r="D858" s="113"/>
      <c r="E858" s="114"/>
      <c r="F858" s="114"/>
      <c r="G858" s="114"/>
      <c r="H858" s="114"/>
      <c r="I858" s="114"/>
      <c r="J858" s="114"/>
      <c r="K858" s="114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  <c r="AA858" s="187"/>
      <c r="AB858" s="187"/>
      <c r="AC858" s="187"/>
      <c r="AD858" s="187"/>
    </row>
    <row r="859">
      <c r="A859" s="114"/>
      <c r="B859" s="114"/>
      <c r="C859" s="114"/>
      <c r="D859" s="113"/>
      <c r="E859" s="114"/>
      <c r="F859" s="114"/>
      <c r="G859" s="114"/>
      <c r="H859" s="114"/>
      <c r="I859" s="114"/>
      <c r="J859" s="114"/>
      <c r="K859" s="114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  <c r="AA859" s="187"/>
      <c r="AB859" s="187"/>
      <c r="AC859" s="187"/>
      <c r="AD859" s="187"/>
    </row>
    <row r="860">
      <c r="A860" s="114"/>
      <c r="B860" s="114"/>
      <c r="C860" s="114"/>
      <c r="D860" s="113"/>
      <c r="E860" s="114"/>
      <c r="F860" s="114"/>
      <c r="G860" s="114"/>
      <c r="H860" s="114"/>
      <c r="I860" s="114"/>
      <c r="J860" s="114"/>
      <c r="K860" s="114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  <c r="AA860" s="187"/>
      <c r="AB860" s="187"/>
      <c r="AC860" s="187"/>
      <c r="AD860" s="187"/>
    </row>
    <row r="861">
      <c r="A861" s="114"/>
      <c r="B861" s="114"/>
      <c r="C861" s="114"/>
      <c r="D861" s="113"/>
      <c r="E861" s="114"/>
      <c r="F861" s="114"/>
      <c r="G861" s="114"/>
      <c r="H861" s="114"/>
      <c r="I861" s="114"/>
      <c r="J861" s="114"/>
      <c r="K861" s="114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  <c r="AA861" s="187"/>
      <c r="AB861" s="187"/>
      <c r="AC861" s="187"/>
      <c r="AD861" s="187"/>
    </row>
    <row r="862">
      <c r="A862" s="114"/>
      <c r="B862" s="114"/>
      <c r="C862" s="114"/>
      <c r="D862" s="113"/>
      <c r="E862" s="114"/>
      <c r="F862" s="114"/>
      <c r="G862" s="114"/>
      <c r="H862" s="114"/>
      <c r="I862" s="114"/>
      <c r="J862" s="114"/>
      <c r="K862" s="114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  <c r="AA862" s="187"/>
      <c r="AB862" s="187"/>
      <c r="AC862" s="187"/>
      <c r="AD862" s="187"/>
    </row>
    <row r="863">
      <c r="A863" s="114"/>
      <c r="B863" s="114"/>
      <c r="C863" s="114"/>
      <c r="D863" s="113"/>
      <c r="E863" s="114"/>
      <c r="F863" s="114"/>
      <c r="G863" s="114"/>
      <c r="H863" s="114"/>
      <c r="I863" s="114"/>
      <c r="J863" s="114"/>
      <c r="K863" s="114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  <c r="AA863" s="187"/>
      <c r="AB863" s="187"/>
      <c r="AC863" s="187"/>
      <c r="AD863" s="187"/>
    </row>
    <row r="864">
      <c r="A864" s="114"/>
      <c r="B864" s="114"/>
      <c r="C864" s="114"/>
      <c r="D864" s="113"/>
      <c r="E864" s="114"/>
      <c r="F864" s="114"/>
      <c r="G864" s="114"/>
      <c r="H864" s="114"/>
      <c r="I864" s="114"/>
      <c r="J864" s="114"/>
      <c r="K864" s="114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  <c r="AA864" s="187"/>
      <c r="AB864" s="187"/>
      <c r="AC864" s="187"/>
      <c r="AD864" s="187"/>
    </row>
    <row r="865">
      <c r="A865" s="114"/>
      <c r="B865" s="114"/>
      <c r="C865" s="114"/>
      <c r="D865" s="113"/>
      <c r="E865" s="114"/>
      <c r="F865" s="114"/>
      <c r="G865" s="114"/>
      <c r="H865" s="114"/>
      <c r="I865" s="114"/>
      <c r="J865" s="114"/>
      <c r="K865" s="114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  <c r="AA865" s="187"/>
      <c r="AB865" s="187"/>
      <c r="AC865" s="187"/>
      <c r="AD865" s="187"/>
    </row>
    <row r="866">
      <c r="A866" s="114"/>
      <c r="B866" s="114"/>
      <c r="C866" s="114"/>
      <c r="D866" s="113"/>
      <c r="E866" s="114"/>
      <c r="F866" s="114"/>
      <c r="G866" s="114"/>
      <c r="H866" s="114"/>
      <c r="I866" s="114"/>
      <c r="J866" s="114"/>
      <c r="K866" s="114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  <c r="AA866" s="187"/>
      <c r="AB866" s="187"/>
      <c r="AC866" s="187"/>
      <c r="AD866" s="187"/>
    </row>
    <row r="867">
      <c r="A867" s="114"/>
      <c r="B867" s="114"/>
      <c r="C867" s="114"/>
      <c r="D867" s="113"/>
      <c r="E867" s="114"/>
      <c r="F867" s="114"/>
      <c r="G867" s="114"/>
      <c r="H867" s="114"/>
      <c r="I867" s="114"/>
      <c r="J867" s="114"/>
      <c r="K867" s="114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  <c r="AA867" s="187"/>
      <c r="AB867" s="187"/>
      <c r="AC867" s="187"/>
      <c r="AD867" s="187"/>
    </row>
    <row r="868">
      <c r="A868" s="114"/>
      <c r="B868" s="114"/>
      <c r="C868" s="114"/>
      <c r="D868" s="113"/>
      <c r="E868" s="114"/>
      <c r="F868" s="114"/>
      <c r="G868" s="114"/>
      <c r="H868" s="114"/>
      <c r="I868" s="114"/>
      <c r="J868" s="114"/>
      <c r="K868" s="114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  <c r="AA868" s="187"/>
      <c r="AB868" s="187"/>
      <c r="AC868" s="187"/>
      <c r="AD868" s="187"/>
    </row>
    <row r="869">
      <c r="A869" s="114"/>
      <c r="B869" s="114"/>
      <c r="C869" s="114"/>
      <c r="D869" s="113"/>
      <c r="E869" s="114"/>
      <c r="F869" s="114"/>
      <c r="G869" s="114"/>
      <c r="H869" s="114"/>
      <c r="I869" s="114"/>
      <c r="J869" s="114"/>
      <c r="K869" s="114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  <c r="AA869" s="187"/>
      <c r="AB869" s="187"/>
      <c r="AC869" s="187"/>
      <c r="AD869" s="187"/>
    </row>
    <row r="870">
      <c r="A870" s="114"/>
      <c r="B870" s="114"/>
      <c r="C870" s="114"/>
      <c r="D870" s="113"/>
      <c r="E870" s="114"/>
      <c r="F870" s="114"/>
      <c r="G870" s="114"/>
      <c r="H870" s="114"/>
      <c r="I870" s="114"/>
      <c r="J870" s="114"/>
      <c r="K870" s="114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  <c r="AA870" s="187"/>
      <c r="AB870" s="187"/>
      <c r="AC870" s="187"/>
      <c r="AD870" s="187"/>
    </row>
    <row r="871">
      <c r="A871" s="114"/>
      <c r="B871" s="114"/>
      <c r="C871" s="114"/>
      <c r="D871" s="113"/>
      <c r="E871" s="114"/>
      <c r="F871" s="114"/>
      <c r="G871" s="114"/>
      <c r="H871" s="114"/>
      <c r="I871" s="114"/>
      <c r="J871" s="114"/>
      <c r="K871" s="114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  <c r="AA871" s="187"/>
      <c r="AB871" s="187"/>
      <c r="AC871" s="187"/>
      <c r="AD871" s="187"/>
    </row>
    <row r="872">
      <c r="A872" s="114"/>
      <c r="B872" s="114"/>
      <c r="C872" s="114"/>
      <c r="D872" s="113"/>
      <c r="E872" s="114"/>
      <c r="F872" s="114"/>
      <c r="G872" s="114"/>
      <c r="H872" s="114"/>
      <c r="I872" s="114"/>
      <c r="J872" s="114"/>
      <c r="K872" s="114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  <c r="AA872" s="187"/>
      <c r="AB872" s="187"/>
      <c r="AC872" s="187"/>
      <c r="AD872" s="187"/>
    </row>
    <row r="873">
      <c r="A873" s="114"/>
      <c r="B873" s="114"/>
      <c r="C873" s="114"/>
      <c r="D873" s="113"/>
      <c r="E873" s="114"/>
      <c r="F873" s="114"/>
      <c r="G873" s="114"/>
      <c r="H873" s="114"/>
      <c r="I873" s="114"/>
      <c r="J873" s="114"/>
      <c r="K873" s="114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  <c r="AA873" s="187"/>
      <c r="AB873" s="187"/>
      <c r="AC873" s="187"/>
      <c r="AD873" s="187"/>
    </row>
    <row r="874">
      <c r="A874" s="114"/>
      <c r="B874" s="114"/>
      <c r="C874" s="114"/>
      <c r="D874" s="113"/>
      <c r="E874" s="114"/>
      <c r="F874" s="114"/>
      <c r="G874" s="114"/>
      <c r="H874" s="114"/>
      <c r="I874" s="114"/>
      <c r="J874" s="114"/>
      <c r="K874" s="114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  <c r="AA874" s="187"/>
      <c r="AB874" s="187"/>
      <c r="AC874" s="187"/>
      <c r="AD874" s="187"/>
    </row>
    <row r="875">
      <c r="A875" s="114"/>
      <c r="B875" s="114"/>
      <c r="C875" s="114"/>
      <c r="D875" s="113"/>
      <c r="E875" s="114"/>
      <c r="F875" s="114"/>
      <c r="G875" s="114"/>
      <c r="H875" s="114"/>
      <c r="I875" s="114"/>
      <c r="J875" s="114"/>
      <c r="K875" s="114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  <c r="AA875" s="187"/>
      <c r="AB875" s="187"/>
      <c r="AC875" s="187"/>
      <c r="AD875" s="187"/>
    </row>
    <row r="876">
      <c r="A876" s="114"/>
      <c r="B876" s="114"/>
      <c r="C876" s="114"/>
      <c r="D876" s="113"/>
      <c r="E876" s="114"/>
      <c r="F876" s="114"/>
      <c r="G876" s="114"/>
      <c r="H876" s="114"/>
      <c r="I876" s="114"/>
      <c r="J876" s="114"/>
      <c r="K876" s="114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  <c r="AA876" s="187"/>
      <c r="AB876" s="187"/>
      <c r="AC876" s="187"/>
      <c r="AD876" s="187"/>
    </row>
    <row r="877">
      <c r="A877" s="114"/>
      <c r="B877" s="114"/>
      <c r="C877" s="114"/>
      <c r="D877" s="113"/>
      <c r="E877" s="114"/>
      <c r="F877" s="114"/>
      <c r="G877" s="114"/>
      <c r="H877" s="114"/>
      <c r="I877" s="114"/>
      <c r="J877" s="114"/>
      <c r="K877" s="114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  <c r="AA877" s="187"/>
      <c r="AB877" s="187"/>
      <c r="AC877" s="187"/>
      <c r="AD877" s="187"/>
    </row>
    <row r="878">
      <c r="A878" s="114"/>
      <c r="B878" s="114"/>
      <c r="C878" s="114"/>
      <c r="D878" s="113"/>
      <c r="E878" s="114"/>
      <c r="F878" s="114"/>
      <c r="G878" s="114"/>
      <c r="H878" s="114"/>
      <c r="I878" s="114"/>
      <c r="J878" s="114"/>
      <c r="K878" s="114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  <c r="AA878" s="187"/>
      <c r="AB878" s="187"/>
      <c r="AC878" s="187"/>
      <c r="AD878" s="187"/>
    </row>
    <row r="879">
      <c r="A879" s="114"/>
      <c r="B879" s="114"/>
      <c r="C879" s="114"/>
      <c r="D879" s="113"/>
      <c r="E879" s="114"/>
      <c r="F879" s="114"/>
      <c r="G879" s="114"/>
      <c r="H879" s="114"/>
      <c r="I879" s="114"/>
      <c r="J879" s="114"/>
      <c r="K879" s="114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  <c r="AA879" s="187"/>
      <c r="AB879" s="187"/>
      <c r="AC879" s="187"/>
      <c r="AD879" s="187"/>
    </row>
    <row r="880">
      <c r="A880" s="114"/>
      <c r="B880" s="114"/>
      <c r="C880" s="114"/>
      <c r="D880" s="113"/>
      <c r="E880" s="114"/>
      <c r="F880" s="114"/>
      <c r="G880" s="114"/>
      <c r="H880" s="114"/>
      <c r="I880" s="114"/>
      <c r="J880" s="114"/>
      <c r="K880" s="114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  <c r="AA880" s="187"/>
      <c r="AB880" s="187"/>
      <c r="AC880" s="187"/>
      <c r="AD880" s="187"/>
    </row>
    <row r="881">
      <c r="A881" s="114"/>
      <c r="B881" s="114"/>
      <c r="C881" s="114"/>
      <c r="D881" s="113"/>
      <c r="E881" s="114"/>
      <c r="F881" s="114"/>
      <c r="G881" s="114"/>
      <c r="H881" s="114"/>
      <c r="I881" s="114"/>
      <c r="J881" s="114"/>
      <c r="K881" s="114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  <c r="AA881" s="187"/>
      <c r="AB881" s="187"/>
      <c r="AC881" s="187"/>
      <c r="AD881" s="187"/>
    </row>
    <row r="882">
      <c r="A882" s="114"/>
      <c r="B882" s="114"/>
      <c r="C882" s="114"/>
      <c r="D882" s="113"/>
      <c r="E882" s="114"/>
      <c r="F882" s="114"/>
      <c r="G882" s="114"/>
      <c r="H882" s="114"/>
      <c r="I882" s="114"/>
      <c r="J882" s="114"/>
      <c r="K882" s="114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  <c r="AA882" s="187"/>
      <c r="AB882" s="187"/>
      <c r="AC882" s="187"/>
      <c r="AD882" s="187"/>
    </row>
    <row r="883">
      <c r="A883" s="114"/>
      <c r="B883" s="114"/>
      <c r="C883" s="114"/>
      <c r="D883" s="113"/>
      <c r="E883" s="114"/>
      <c r="F883" s="114"/>
      <c r="G883" s="114"/>
      <c r="H883" s="114"/>
      <c r="I883" s="114"/>
      <c r="J883" s="114"/>
      <c r="K883" s="114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  <c r="AA883" s="187"/>
      <c r="AB883" s="187"/>
      <c r="AC883" s="187"/>
      <c r="AD883" s="187"/>
    </row>
    <row r="884">
      <c r="A884" s="114"/>
      <c r="B884" s="114"/>
      <c r="C884" s="114"/>
      <c r="D884" s="113"/>
      <c r="E884" s="114"/>
      <c r="F884" s="114"/>
      <c r="G884" s="114"/>
      <c r="H884" s="114"/>
      <c r="I884" s="114"/>
      <c r="J884" s="114"/>
      <c r="K884" s="114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  <c r="AA884" s="187"/>
      <c r="AB884" s="187"/>
      <c r="AC884" s="187"/>
      <c r="AD884" s="187"/>
    </row>
    <row r="885">
      <c r="A885" s="114"/>
      <c r="B885" s="114"/>
      <c r="C885" s="114"/>
      <c r="D885" s="113"/>
      <c r="E885" s="114"/>
      <c r="F885" s="114"/>
      <c r="G885" s="114"/>
      <c r="H885" s="114"/>
      <c r="I885" s="114"/>
      <c r="J885" s="114"/>
      <c r="K885" s="114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  <c r="AA885" s="187"/>
      <c r="AB885" s="187"/>
      <c r="AC885" s="187"/>
      <c r="AD885" s="187"/>
    </row>
    <row r="886">
      <c r="A886" s="114"/>
      <c r="B886" s="114"/>
      <c r="C886" s="114"/>
      <c r="D886" s="113"/>
      <c r="E886" s="114"/>
      <c r="F886" s="114"/>
      <c r="G886" s="114"/>
      <c r="H886" s="114"/>
      <c r="I886" s="114"/>
      <c r="J886" s="114"/>
      <c r="K886" s="114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  <c r="AA886" s="187"/>
      <c r="AB886" s="187"/>
      <c r="AC886" s="187"/>
      <c r="AD886" s="187"/>
    </row>
    <row r="887">
      <c r="A887" s="114"/>
      <c r="B887" s="114"/>
      <c r="C887" s="114"/>
      <c r="D887" s="113"/>
      <c r="E887" s="114"/>
      <c r="F887" s="114"/>
      <c r="G887" s="114"/>
      <c r="H887" s="114"/>
      <c r="I887" s="114"/>
      <c r="J887" s="114"/>
      <c r="K887" s="114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  <c r="AA887" s="187"/>
      <c r="AB887" s="187"/>
      <c r="AC887" s="187"/>
      <c r="AD887" s="187"/>
    </row>
    <row r="888">
      <c r="A888" s="114"/>
      <c r="B888" s="114"/>
      <c r="C888" s="114"/>
      <c r="D888" s="113"/>
      <c r="E888" s="114"/>
      <c r="F888" s="114"/>
      <c r="G888" s="114"/>
      <c r="H888" s="114"/>
      <c r="I888" s="114"/>
      <c r="J888" s="114"/>
      <c r="K888" s="114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  <c r="AA888" s="187"/>
      <c r="AB888" s="187"/>
      <c r="AC888" s="187"/>
      <c r="AD888" s="187"/>
    </row>
    <row r="889">
      <c r="A889" s="114"/>
      <c r="B889" s="114"/>
      <c r="C889" s="114"/>
      <c r="D889" s="113"/>
      <c r="E889" s="114"/>
      <c r="F889" s="114"/>
      <c r="G889" s="114"/>
      <c r="H889" s="114"/>
      <c r="I889" s="114"/>
      <c r="J889" s="114"/>
      <c r="K889" s="114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  <c r="AA889" s="187"/>
      <c r="AB889" s="187"/>
      <c r="AC889" s="187"/>
      <c r="AD889" s="187"/>
    </row>
    <row r="890">
      <c r="A890" s="114"/>
      <c r="B890" s="114"/>
      <c r="C890" s="114"/>
      <c r="D890" s="113"/>
      <c r="E890" s="114"/>
      <c r="F890" s="114"/>
      <c r="G890" s="114"/>
      <c r="H890" s="114"/>
      <c r="I890" s="114"/>
      <c r="J890" s="114"/>
      <c r="K890" s="114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  <c r="AA890" s="187"/>
      <c r="AB890" s="187"/>
      <c r="AC890" s="187"/>
      <c r="AD890" s="187"/>
    </row>
    <row r="891">
      <c r="A891" s="114"/>
      <c r="B891" s="114"/>
      <c r="C891" s="114"/>
      <c r="D891" s="113"/>
      <c r="E891" s="114"/>
      <c r="F891" s="114"/>
      <c r="G891" s="114"/>
      <c r="H891" s="114"/>
      <c r="I891" s="114"/>
      <c r="J891" s="114"/>
      <c r="K891" s="114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  <c r="AA891" s="187"/>
      <c r="AB891" s="187"/>
      <c r="AC891" s="187"/>
      <c r="AD891" s="187"/>
    </row>
    <row r="892">
      <c r="A892" s="114"/>
      <c r="B892" s="114"/>
      <c r="C892" s="114"/>
      <c r="D892" s="113"/>
      <c r="E892" s="114"/>
      <c r="F892" s="114"/>
      <c r="G892" s="114"/>
      <c r="H892" s="114"/>
      <c r="I892" s="114"/>
      <c r="J892" s="114"/>
      <c r="K892" s="114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  <c r="AA892" s="187"/>
      <c r="AB892" s="187"/>
      <c r="AC892" s="187"/>
      <c r="AD892" s="187"/>
    </row>
    <row r="893">
      <c r="A893" s="114"/>
      <c r="B893" s="114"/>
      <c r="C893" s="114"/>
      <c r="D893" s="113"/>
      <c r="E893" s="114"/>
      <c r="F893" s="114"/>
      <c r="G893" s="114"/>
      <c r="H893" s="114"/>
      <c r="I893" s="114"/>
      <c r="J893" s="114"/>
      <c r="K893" s="114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  <c r="AA893" s="187"/>
      <c r="AB893" s="187"/>
      <c r="AC893" s="187"/>
      <c r="AD893" s="187"/>
    </row>
    <row r="894">
      <c r="A894" s="114"/>
      <c r="B894" s="114"/>
      <c r="C894" s="114"/>
      <c r="D894" s="113"/>
      <c r="E894" s="114"/>
      <c r="F894" s="114"/>
      <c r="G894" s="114"/>
      <c r="H894" s="114"/>
      <c r="I894" s="114"/>
      <c r="J894" s="114"/>
      <c r="K894" s="114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  <c r="AA894" s="187"/>
      <c r="AB894" s="187"/>
      <c r="AC894" s="187"/>
      <c r="AD894" s="187"/>
    </row>
    <row r="895">
      <c r="A895" s="114"/>
      <c r="B895" s="114"/>
      <c r="C895" s="114"/>
      <c r="D895" s="113"/>
      <c r="E895" s="114"/>
      <c r="F895" s="114"/>
      <c r="G895" s="114"/>
      <c r="H895" s="114"/>
      <c r="I895" s="114"/>
      <c r="J895" s="114"/>
      <c r="K895" s="114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  <c r="AA895" s="187"/>
      <c r="AB895" s="187"/>
      <c r="AC895" s="187"/>
      <c r="AD895" s="187"/>
    </row>
    <row r="896">
      <c r="A896" s="114"/>
      <c r="B896" s="114"/>
      <c r="C896" s="114"/>
      <c r="D896" s="113"/>
      <c r="E896" s="114"/>
      <c r="F896" s="114"/>
      <c r="G896" s="114"/>
      <c r="H896" s="114"/>
      <c r="I896" s="114"/>
      <c r="J896" s="114"/>
      <c r="K896" s="114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  <c r="AA896" s="187"/>
      <c r="AB896" s="187"/>
      <c r="AC896" s="187"/>
      <c r="AD896" s="187"/>
    </row>
    <row r="897">
      <c r="A897" s="114"/>
      <c r="B897" s="114"/>
      <c r="C897" s="114"/>
      <c r="D897" s="113"/>
      <c r="E897" s="114"/>
      <c r="F897" s="114"/>
      <c r="G897" s="114"/>
      <c r="H897" s="114"/>
      <c r="I897" s="114"/>
      <c r="J897" s="114"/>
      <c r="K897" s="114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  <c r="AA897" s="187"/>
      <c r="AB897" s="187"/>
      <c r="AC897" s="187"/>
      <c r="AD897" s="187"/>
    </row>
    <row r="898">
      <c r="A898" s="114"/>
      <c r="B898" s="114"/>
      <c r="C898" s="114"/>
      <c r="D898" s="113"/>
      <c r="E898" s="114"/>
      <c r="F898" s="114"/>
      <c r="G898" s="114"/>
      <c r="H898" s="114"/>
      <c r="I898" s="114"/>
      <c r="J898" s="114"/>
      <c r="K898" s="114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  <c r="AA898" s="187"/>
      <c r="AB898" s="187"/>
      <c r="AC898" s="187"/>
      <c r="AD898" s="187"/>
    </row>
    <row r="899">
      <c r="A899" s="114"/>
      <c r="B899" s="114"/>
      <c r="C899" s="114"/>
      <c r="D899" s="113"/>
      <c r="E899" s="114"/>
      <c r="F899" s="114"/>
      <c r="G899" s="114"/>
      <c r="H899" s="114"/>
      <c r="I899" s="114"/>
      <c r="J899" s="114"/>
      <c r="K899" s="114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  <c r="AA899" s="187"/>
      <c r="AB899" s="187"/>
      <c r="AC899" s="187"/>
      <c r="AD899" s="187"/>
    </row>
    <row r="900">
      <c r="A900" s="114"/>
      <c r="B900" s="114"/>
      <c r="C900" s="114"/>
      <c r="D900" s="113"/>
      <c r="E900" s="114"/>
      <c r="F900" s="114"/>
      <c r="G900" s="114"/>
      <c r="H900" s="114"/>
      <c r="I900" s="114"/>
      <c r="J900" s="114"/>
      <c r="K900" s="114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  <c r="AA900" s="187"/>
      <c r="AB900" s="187"/>
      <c r="AC900" s="187"/>
      <c r="AD900" s="187"/>
    </row>
    <row r="901">
      <c r="A901" s="114"/>
      <c r="B901" s="114"/>
      <c r="C901" s="114"/>
      <c r="D901" s="113"/>
      <c r="E901" s="114"/>
      <c r="F901" s="114"/>
      <c r="G901" s="114"/>
      <c r="H901" s="114"/>
      <c r="I901" s="114"/>
      <c r="J901" s="114"/>
      <c r="K901" s="114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  <c r="AA901" s="187"/>
      <c r="AB901" s="187"/>
      <c r="AC901" s="187"/>
      <c r="AD901" s="187"/>
    </row>
    <row r="902">
      <c r="A902" s="114"/>
      <c r="B902" s="114"/>
      <c r="C902" s="114"/>
      <c r="D902" s="113"/>
      <c r="E902" s="114"/>
      <c r="F902" s="114"/>
      <c r="G902" s="114"/>
      <c r="H902" s="114"/>
      <c r="I902" s="114"/>
      <c r="J902" s="114"/>
      <c r="K902" s="114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  <c r="AA902" s="187"/>
      <c r="AB902" s="187"/>
      <c r="AC902" s="187"/>
      <c r="AD902" s="187"/>
    </row>
    <row r="903">
      <c r="A903" s="114"/>
      <c r="B903" s="114"/>
      <c r="C903" s="114"/>
      <c r="D903" s="113"/>
      <c r="E903" s="114"/>
      <c r="F903" s="114"/>
      <c r="G903" s="114"/>
      <c r="H903" s="114"/>
      <c r="I903" s="114"/>
      <c r="J903" s="114"/>
      <c r="K903" s="114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  <c r="AA903" s="187"/>
      <c r="AB903" s="187"/>
      <c r="AC903" s="187"/>
      <c r="AD903" s="187"/>
    </row>
    <row r="904">
      <c r="A904" s="114"/>
      <c r="B904" s="114"/>
      <c r="C904" s="114"/>
      <c r="D904" s="113"/>
      <c r="E904" s="114"/>
      <c r="F904" s="114"/>
      <c r="G904" s="114"/>
      <c r="H904" s="114"/>
      <c r="I904" s="114"/>
      <c r="J904" s="114"/>
      <c r="K904" s="114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  <c r="AA904" s="187"/>
      <c r="AB904" s="187"/>
      <c r="AC904" s="187"/>
      <c r="AD904" s="187"/>
    </row>
    <row r="905">
      <c r="A905" s="114"/>
      <c r="B905" s="114"/>
      <c r="C905" s="114"/>
      <c r="D905" s="113"/>
      <c r="E905" s="114"/>
      <c r="F905" s="114"/>
      <c r="G905" s="114"/>
      <c r="H905" s="114"/>
      <c r="I905" s="114"/>
      <c r="J905" s="114"/>
      <c r="K905" s="114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  <c r="AA905" s="187"/>
      <c r="AB905" s="187"/>
      <c r="AC905" s="187"/>
      <c r="AD905" s="187"/>
    </row>
    <row r="906">
      <c r="A906" s="114"/>
      <c r="B906" s="114"/>
      <c r="C906" s="114"/>
      <c r="D906" s="113"/>
      <c r="E906" s="114"/>
      <c r="F906" s="114"/>
      <c r="G906" s="114"/>
      <c r="H906" s="114"/>
      <c r="I906" s="114"/>
      <c r="J906" s="114"/>
      <c r="K906" s="114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  <c r="AA906" s="187"/>
      <c r="AB906" s="187"/>
      <c r="AC906" s="187"/>
      <c r="AD906" s="187"/>
    </row>
    <row r="907">
      <c r="A907" s="114"/>
      <c r="B907" s="114"/>
      <c r="C907" s="114"/>
      <c r="D907" s="113"/>
      <c r="E907" s="114"/>
      <c r="F907" s="114"/>
      <c r="G907" s="114"/>
      <c r="H907" s="114"/>
      <c r="I907" s="114"/>
      <c r="J907" s="114"/>
      <c r="K907" s="114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  <c r="AA907" s="187"/>
      <c r="AB907" s="187"/>
      <c r="AC907" s="187"/>
      <c r="AD907" s="187"/>
    </row>
    <row r="908">
      <c r="A908" s="114"/>
      <c r="B908" s="114"/>
      <c r="C908" s="114"/>
      <c r="D908" s="113"/>
      <c r="E908" s="114"/>
      <c r="F908" s="114"/>
      <c r="G908" s="114"/>
      <c r="H908" s="114"/>
      <c r="I908" s="114"/>
      <c r="J908" s="114"/>
      <c r="K908" s="114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  <c r="AA908" s="187"/>
      <c r="AB908" s="187"/>
      <c r="AC908" s="187"/>
      <c r="AD908" s="187"/>
    </row>
    <row r="909">
      <c r="A909" s="114"/>
      <c r="B909" s="114"/>
      <c r="C909" s="114"/>
      <c r="D909" s="113"/>
      <c r="E909" s="114"/>
      <c r="F909" s="114"/>
      <c r="G909" s="114"/>
      <c r="H909" s="114"/>
      <c r="I909" s="114"/>
      <c r="J909" s="114"/>
      <c r="K909" s="114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  <c r="AA909" s="187"/>
      <c r="AB909" s="187"/>
      <c r="AC909" s="187"/>
      <c r="AD909" s="187"/>
    </row>
    <row r="910">
      <c r="A910" s="114"/>
      <c r="B910" s="114"/>
      <c r="C910" s="114"/>
      <c r="D910" s="113"/>
      <c r="E910" s="114"/>
      <c r="F910" s="114"/>
      <c r="G910" s="114"/>
      <c r="H910" s="114"/>
      <c r="I910" s="114"/>
      <c r="J910" s="114"/>
      <c r="K910" s="114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  <c r="AA910" s="187"/>
      <c r="AB910" s="187"/>
      <c r="AC910" s="187"/>
      <c r="AD910" s="187"/>
    </row>
    <row r="911">
      <c r="A911" s="114"/>
      <c r="B911" s="114"/>
      <c r="C911" s="114"/>
      <c r="D911" s="113"/>
      <c r="E911" s="114"/>
      <c r="F911" s="114"/>
      <c r="G911" s="114"/>
      <c r="H911" s="114"/>
      <c r="I911" s="114"/>
      <c r="J911" s="114"/>
      <c r="K911" s="114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  <c r="AA911" s="187"/>
      <c r="AB911" s="187"/>
      <c r="AC911" s="187"/>
      <c r="AD911" s="187"/>
    </row>
    <row r="912">
      <c r="A912" s="114"/>
      <c r="B912" s="114"/>
      <c r="C912" s="114"/>
      <c r="D912" s="113"/>
      <c r="E912" s="114"/>
      <c r="F912" s="114"/>
      <c r="G912" s="114"/>
      <c r="H912" s="114"/>
      <c r="I912" s="114"/>
      <c r="J912" s="114"/>
      <c r="K912" s="114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  <c r="AA912" s="187"/>
      <c r="AB912" s="187"/>
      <c r="AC912" s="187"/>
      <c r="AD912" s="187"/>
    </row>
    <row r="913">
      <c r="A913" s="114"/>
      <c r="B913" s="114"/>
      <c r="C913" s="114"/>
      <c r="D913" s="113"/>
      <c r="E913" s="114"/>
      <c r="F913" s="114"/>
      <c r="G913" s="114"/>
      <c r="H913" s="114"/>
      <c r="I913" s="114"/>
      <c r="J913" s="114"/>
      <c r="K913" s="114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  <c r="AA913" s="187"/>
      <c r="AB913" s="187"/>
      <c r="AC913" s="187"/>
      <c r="AD913" s="187"/>
    </row>
    <row r="914">
      <c r="A914" s="114"/>
      <c r="B914" s="114"/>
      <c r="C914" s="114"/>
      <c r="D914" s="113"/>
      <c r="E914" s="114"/>
      <c r="F914" s="114"/>
      <c r="G914" s="114"/>
      <c r="H914" s="114"/>
      <c r="I914" s="114"/>
      <c r="J914" s="114"/>
      <c r="K914" s="114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  <c r="AA914" s="187"/>
      <c r="AB914" s="187"/>
      <c r="AC914" s="187"/>
      <c r="AD914" s="187"/>
    </row>
    <row r="915">
      <c r="A915" s="114"/>
      <c r="B915" s="114"/>
      <c r="C915" s="114"/>
      <c r="D915" s="113"/>
      <c r="E915" s="114"/>
      <c r="F915" s="114"/>
      <c r="G915" s="114"/>
      <c r="H915" s="114"/>
      <c r="I915" s="114"/>
      <c r="J915" s="114"/>
      <c r="K915" s="114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  <c r="AA915" s="187"/>
      <c r="AB915" s="187"/>
      <c r="AC915" s="187"/>
      <c r="AD915" s="187"/>
    </row>
    <row r="916">
      <c r="A916" s="114"/>
      <c r="B916" s="114"/>
      <c r="C916" s="114"/>
      <c r="D916" s="113"/>
      <c r="E916" s="114"/>
      <c r="F916" s="114"/>
      <c r="G916" s="114"/>
      <c r="H916" s="114"/>
      <c r="I916" s="114"/>
      <c r="J916" s="114"/>
      <c r="K916" s="114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  <c r="AA916" s="187"/>
      <c r="AB916" s="187"/>
      <c r="AC916" s="187"/>
      <c r="AD916" s="187"/>
    </row>
    <row r="917">
      <c r="A917" s="114"/>
      <c r="B917" s="114"/>
      <c r="C917" s="114"/>
      <c r="D917" s="113"/>
      <c r="E917" s="114"/>
      <c r="F917" s="114"/>
      <c r="G917" s="114"/>
      <c r="H917" s="114"/>
      <c r="I917" s="114"/>
      <c r="J917" s="114"/>
      <c r="K917" s="114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  <c r="AA917" s="187"/>
      <c r="AB917" s="187"/>
      <c r="AC917" s="187"/>
      <c r="AD917" s="187"/>
    </row>
    <row r="918">
      <c r="A918" s="114"/>
      <c r="B918" s="114"/>
      <c r="C918" s="114"/>
      <c r="D918" s="113"/>
      <c r="E918" s="114"/>
      <c r="F918" s="114"/>
      <c r="G918" s="114"/>
      <c r="H918" s="114"/>
      <c r="I918" s="114"/>
      <c r="J918" s="114"/>
      <c r="K918" s="114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  <c r="AA918" s="187"/>
      <c r="AB918" s="187"/>
      <c r="AC918" s="187"/>
      <c r="AD918" s="187"/>
    </row>
    <row r="919">
      <c r="A919" s="114"/>
      <c r="B919" s="114"/>
      <c r="C919" s="114"/>
      <c r="D919" s="113"/>
      <c r="E919" s="114"/>
      <c r="F919" s="114"/>
      <c r="G919" s="114"/>
      <c r="H919" s="114"/>
      <c r="I919" s="114"/>
      <c r="J919" s="114"/>
      <c r="K919" s="114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  <c r="AA919" s="187"/>
      <c r="AB919" s="187"/>
      <c r="AC919" s="187"/>
      <c r="AD919" s="187"/>
    </row>
    <row r="920">
      <c r="A920" s="114"/>
      <c r="B920" s="114"/>
      <c r="C920" s="114"/>
      <c r="D920" s="113"/>
      <c r="E920" s="114"/>
      <c r="F920" s="114"/>
      <c r="G920" s="114"/>
      <c r="H920" s="114"/>
      <c r="I920" s="114"/>
      <c r="J920" s="114"/>
      <c r="K920" s="114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  <c r="AA920" s="187"/>
      <c r="AB920" s="187"/>
      <c r="AC920" s="187"/>
      <c r="AD920" s="187"/>
    </row>
    <row r="921">
      <c r="A921" s="114"/>
      <c r="B921" s="114"/>
      <c r="C921" s="114"/>
      <c r="D921" s="113"/>
      <c r="E921" s="114"/>
      <c r="F921" s="114"/>
      <c r="G921" s="114"/>
      <c r="H921" s="114"/>
      <c r="I921" s="114"/>
      <c r="J921" s="114"/>
      <c r="K921" s="114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  <c r="AA921" s="187"/>
      <c r="AB921" s="187"/>
      <c r="AC921" s="187"/>
      <c r="AD921" s="187"/>
    </row>
    <row r="922">
      <c r="A922" s="114"/>
      <c r="B922" s="114"/>
      <c r="C922" s="114"/>
      <c r="D922" s="113"/>
      <c r="E922" s="114"/>
      <c r="F922" s="114"/>
      <c r="G922" s="114"/>
      <c r="H922" s="114"/>
      <c r="I922" s="114"/>
      <c r="J922" s="114"/>
      <c r="K922" s="114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  <c r="AA922" s="187"/>
      <c r="AB922" s="187"/>
      <c r="AC922" s="187"/>
      <c r="AD922" s="187"/>
    </row>
    <row r="923">
      <c r="A923" s="114"/>
      <c r="B923" s="114"/>
      <c r="C923" s="114"/>
      <c r="D923" s="113"/>
      <c r="E923" s="114"/>
      <c r="F923" s="114"/>
      <c r="G923" s="114"/>
      <c r="H923" s="114"/>
      <c r="I923" s="114"/>
      <c r="J923" s="114"/>
      <c r="K923" s="114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  <c r="AA923" s="187"/>
      <c r="AB923" s="187"/>
      <c r="AC923" s="187"/>
      <c r="AD923" s="187"/>
    </row>
    <row r="924">
      <c r="A924" s="114"/>
      <c r="B924" s="114"/>
      <c r="C924" s="114"/>
      <c r="D924" s="113"/>
      <c r="E924" s="114"/>
      <c r="F924" s="114"/>
      <c r="G924" s="114"/>
      <c r="H924" s="114"/>
      <c r="I924" s="114"/>
      <c r="J924" s="114"/>
      <c r="K924" s="114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  <c r="AA924" s="187"/>
      <c r="AB924" s="187"/>
      <c r="AC924" s="187"/>
      <c r="AD924" s="187"/>
    </row>
    <row r="925">
      <c r="A925" s="114"/>
      <c r="B925" s="114"/>
      <c r="C925" s="114"/>
      <c r="D925" s="113"/>
      <c r="E925" s="114"/>
      <c r="F925" s="114"/>
      <c r="G925" s="114"/>
      <c r="H925" s="114"/>
      <c r="I925" s="114"/>
      <c r="J925" s="114"/>
      <c r="K925" s="114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  <c r="AA925" s="187"/>
      <c r="AB925" s="187"/>
      <c r="AC925" s="187"/>
      <c r="AD925" s="187"/>
    </row>
    <row r="926">
      <c r="A926" s="114"/>
      <c r="B926" s="114"/>
      <c r="C926" s="114"/>
      <c r="D926" s="113"/>
      <c r="E926" s="114"/>
      <c r="F926" s="114"/>
      <c r="G926" s="114"/>
      <c r="H926" s="114"/>
      <c r="I926" s="114"/>
      <c r="J926" s="114"/>
      <c r="K926" s="114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  <c r="AA926" s="187"/>
      <c r="AB926" s="187"/>
      <c r="AC926" s="187"/>
      <c r="AD926" s="187"/>
    </row>
    <row r="927">
      <c r="A927" s="114"/>
      <c r="B927" s="114"/>
      <c r="C927" s="114"/>
      <c r="D927" s="113"/>
      <c r="E927" s="114"/>
      <c r="F927" s="114"/>
      <c r="G927" s="114"/>
      <c r="H927" s="114"/>
      <c r="I927" s="114"/>
      <c r="J927" s="114"/>
      <c r="K927" s="114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  <c r="AA927" s="187"/>
      <c r="AB927" s="187"/>
      <c r="AC927" s="187"/>
      <c r="AD927" s="187"/>
    </row>
    <row r="928">
      <c r="A928" s="114"/>
      <c r="B928" s="114"/>
      <c r="C928" s="114"/>
      <c r="D928" s="113"/>
      <c r="E928" s="114"/>
      <c r="F928" s="114"/>
      <c r="G928" s="114"/>
      <c r="H928" s="114"/>
      <c r="I928" s="114"/>
      <c r="J928" s="114"/>
      <c r="K928" s="114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  <c r="AA928" s="187"/>
      <c r="AB928" s="187"/>
      <c r="AC928" s="187"/>
      <c r="AD928" s="187"/>
    </row>
    <row r="929">
      <c r="A929" s="114"/>
      <c r="B929" s="114"/>
      <c r="C929" s="114"/>
      <c r="D929" s="113"/>
      <c r="E929" s="114"/>
      <c r="F929" s="114"/>
      <c r="G929" s="114"/>
      <c r="H929" s="114"/>
      <c r="I929" s="114"/>
      <c r="J929" s="114"/>
      <c r="K929" s="114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  <c r="AA929" s="187"/>
      <c r="AB929" s="187"/>
      <c r="AC929" s="187"/>
      <c r="AD929" s="187"/>
    </row>
    <row r="930">
      <c r="A930" s="114"/>
      <c r="B930" s="114"/>
      <c r="C930" s="114"/>
      <c r="D930" s="113"/>
      <c r="E930" s="114"/>
      <c r="F930" s="114"/>
      <c r="G930" s="114"/>
      <c r="H930" s="114"/>
      <c r="I930" s="114"/>
      <c r="J930" s="114"/>
      <c r="K930" s="114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  <c r="AA930" s="187"/>
      <c r="AB930" s="187"/>
      <c r="AC930" s="187"/>
      <c r="AD930" s="187"/>
    </row>
    <row r="931">
      <c r="A931" s="114"/>
      <c r="B931" s="114"/>
      <c r="C931" s="114"/>
      <c r="D931" s="113"/>
      <c r="E931" s="114"/>
      <c r="F931" s="114"/>
      <c r="G931" s="114"/>
      <c r="H931" s="114"/>
      <c r="I931" s="114"/>
      <c r="J931" s="114"/>
      <c r="K931" s="114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  <c r="AA931" s="187"/>
      <c r="AB931" s="187"/>
      <c r="AC931" s="187"/>
      <c r="AD931" s="187"/>
    </row>
    <row r="932">
      <c r="A932" s="114"/>
      <c r="B932" s="114"/>
      <c r="C932" s="114"/>
      <c r="D932" s="113"/>
      <c r="E932" s="114"/>
      <c r="F932" s="114"/>
      <c r="G932" s="114"/>
      <c r="H932" s="114"/>
      <c r="I932" s="114"/>
      <c r="J932" s="114"/>
      <c r="K932" s="114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  <c r="AA932" s="187"/>
      <c r="AB932" s="187"/>
      <c r="AC932" s="187"/>
      <c r="AD932" s="187"/>
    </row>
    <row r="933">
      <c r="A933" s="114"/>
      <c r="B933" s="114"/>
      <c r="C933" s="114"/>
      <c r="D933" s="113"/>
      <c r="E933" s="114"/>
      <c r="F933" s="114"/>
      <c r="G933" s="114"/>
      <c r="H933" s="114"/>
      <c r="I933" s="114"/>
      <c r="J933" s="114"/>
      <c r="K933" s="114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  <c r="AA933" s="187"/>
      <c r="AB933" s="187"/>
      <c r="AC933" s="187"/>
      <c r="AD933" s="187"/>
    </row>
    <row r="934">
      <c r="A934" s="114"/>
      <c r="B934" s="114"/>
      <c r="C934" s="114"/>
      <c r="D934" s="113"/>
      <c r="E934" s="114"/>
      <c r="F934" s="114"/>
      <c r="G934" s="114"/>
      <c r="H934" s="114"/>
      <c r="I934" s="114"/>
      <c r="J934" s="114"/>
      <c r="K934" s="114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  <c r="AA934" s="187"/>
      <c r="AB934" s="187"/>
      <c r="AC934" s="187"/>
      <c r="AD934" s="187"/>
    </row>
    <row r="935">
      <c r="A935" s="114"/>
      <c r="B935" s="114"/>
      <c r="C935" s="114"/>
      <c r="D935" s="113"/>
      <c r="E935" s="114"/>
      <c r="F935" s="114"/>
      <c r="G935" s="114"/>
      <c r="H935" s="114"/>
      <c r="I935" s="114"/>
      <c r="J935" s="114"/>
      <c r="K935" s="114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  <c r="AA935" s="187"/>
      <c r="AB935" s="187"/>
      <c r="AC935" s="187"/>
      <c r="AD935" s="187"/>
    </row>
    <row r="936">
      <c r="A936" s="114"/>
      <c r="B936" s="114"/>
      <c r="C936" s="114"/>
      <c r="D936" s="113"/>
      <c r="E936" s="114"/>
      <c r="F936" s="114"/>
      <c r="G936" s="114"/>
      <c r="H936" s="114"/>
      <c r="I936" s="114"/>
      <c r="J936" s="114"/>
      <c r="K936" s="114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  <c r="AA936" s="187"/>
      <c r="AB936" s="187"/>
      <c r="AC936" s="187"/>
      <c r="AD936" s="187"/>
    </row>
    <row r="937">
      <c r="A937" s="114"/>
      <c r="B937" s="114"/>
      <c r="C937" s="114"/>
      <c r="D937" s="113"/>
      <c r="E937" s="114"/>
      <c r="F937" s="114"/>
      <c r="G937" s="114"/>
      <c r="H937" s="114"/>
      <c r="I937" s="114"/>
      <c r="J937" s="114"/>
      <c r="K937" s="114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  <c r="AA937" s="187"/>
      <c r="AB937" s="187"/>
      <c r="AC937" s="187"/>
      <c r="AD937" s="187"/>
    </row>
    <row r="938">
      <c r="A938" s="114"/>
      <c r="B938" s="114"/>
      <c r="C938" s="114"/>
      <c r="D938" s="113"/>
      <c r="E938" s="114"/>
      <c r="F938" s="114"/>
      <c r="G938" s="114"/>
      <c r="H938" s="114"/>
      <c r="I938" s="114"/>
      <c r="J938" s="114"/>
      <c r="K938" s="114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  <c r="AA938" s="187"/>
      <c r="AB938" s="187"/>
      <c r="AC938" s="187"/>
      <c r="AD938" s="187"/>
    </row>
    <row r="939">
      <c r="A939" s="114"/>
      <c r="B939" s="114"/>
      <c r="C939" s="114"/>
      <c r="D939" s="113"/>
      <c r="E939" s="114"/>
      <c r="F939" s="114"/>
      <c r="G939" s="114"/>
      <c r="H939" s="114"/>
      <c r="I939" s="114"/>
      <c r="J939" s="114"/>
      <c r="K939" s="114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  <c r="AA939" s="187"/>
      <c r="AB939" s="187"/>
      <c r="AC939" s="187"/>
      <c r="AD939" s="187"/>
    </row>
    <row r="940">
      <c r="A940" s="114"/>
      <c r="B940" s="114"/>
      <c r="C940" s="114"/>
      <c r="D940" s="113"/>
      <c r="E940" s="114"/>
      <c r="F940" s="114"/>
      <c r="G940" s="114"/>
      <c r="H940" s="114"/>
      <c r="I940" s="114"/>
      <c r="J940" s="114"/>
      <c r="K940" s="114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  <c r="AA940" s="187"/>
      <c r="AB940" s="187"/>
      <c r="AC940" s="187"/>
      <c r="AD940" s="187"/>
    </row>
    <row r="941">
      <c r="A941" s="114"/>
      <c r="B941" s="114"/>
      <c r="C941" s="114"/>
      <c r="D941" s="113"/>
      <c r="E941" s="114"/>
      <c r="F941" s="114"/>
      <c r="G941" s="114"/>
      <c r="H941" s="114"/>
      <c r="I941" s="114"/>
      <c r="J941" s="114"/>
      <c r="K941" s="114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  <c r="AA941" s="187"/>
      <c r="AB941" s="187"/>
      <c r="AC941" s="187"/>
      <c r="AD941" s="187"/>
    </row>
    <row r="942">
      <c r="A942" s="114"/>
      <c r="B942" s="114"/>
      <c r="C942" s="114"/>
      <c r="D942" s="113"/>
      <c r="E942" s="114"/>
      <c r="F942" s="114"/>
      <c r="G942" s="114"/>
      <c r="H942" s="114"/>
      <c r="I942" s="114"/>
      <c r="J942" s="114"/>
      <c r="K942" s="114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  <c r="AA942" s="187"/>
      <c r="AB942" s="187"/>
      <c r="AC942" s="187"/>
      <c r="AD942" s="187"/>
    </row>
    <row r="943">
      <c r="A943" s="114"/>
      <c r="B943" s="114"/>
      <c r="C943" s="114"/>
      <c r="D943" s="113"/>
      <c r="E943" s="114"/>
      <c r="F943" s="114"/>
      <c r="G943" s="114"/>
      <c r="H943" s="114"/>
      <c r="I943" s="114"/>
      <c r="J943" s="114"/>
      <c r="K943" s="114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  <c r="AA943" s="187"/>
      <c r="AB943" s="187"/>
      <c r="AC943" s="187"/>
      <c r="AD943" s="187"/>
    </row>
    <row r="944">
      <c r="A944" s="114"/>
      <c r="B944" s="114"/>
      <c r="C944" s="114"/>
      <c r="D944" s="113"/>
      <c r="E944" s="114"/>
      <c r="F944" s="114"/>
      <c r="G944" s="114"/>
      <c r="H944" s="114"/>
      <c r="I944" s="114"/>
      <c r="J944" s="114"/>
      <c r="K944" s="114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  <c r="AA944" s="187"/>
      <c r="AB944" s="187"/>
      <c r="AC944" s="187"/>
      <c r="AD944" s="187"/>
    </row>
    <row r="945">
      <c r="A945" s="114"/>
      <c r="B945" s="114"/>
      <c r="C945" s="114"/>
      <c r="D945" s="113"/>
      <c r="E945" s="114"/>
      <c r="F945" s="114"/>
      <c r="G945" s="114"/>
      <c r="H945" s="114"/>
      <c r="I945" s="114"/>
      <c r="J945" s="114"/>
      <c r="K945" s="114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  <c r="AA945" s="187"/>
      <c r="AB945" s="187"/>
      <c r="AC945" s="187"/>
      <c r="AD945" s="187"/>
    </row>
    <row r="946">
      <c r="A946" s="114"/>
      <c r="B946" s="114"/>
      <c r="C946" s="114"/>
      <c r="D946" s="113"/>
      <c r="E946" s="114"/>
      <c r="F946" s="114"/>
      <c r="G946" s="114"/>
      <c r="H946" s="114"/>
      <c r="I946" s="114"/>
      <c r="J946" s="114"/>
      <c r="K946" s="114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  <c r="AA946" s="187"/>
      <c r="AB946" s="187"/>
      <c r="AC946" s="187"/>
      <c r="AD946" s="187"/>
    </row>
    <row r="947">
      <c r="A947" s="114"/>
      <c r="B947" s="114"/>
      <c r="C947" s="114"/>
      <c r="D947" s="113"/>
      <c r="E947" s="114"/>
      <c r="F947" s="114"/>
      <c r="G947" s="114"/>
      <c r="H947" s="114"/>
      <c r="I947" s="114"/>
      <c r="J947" s="114"/>
      <c r="K947" s="114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  <c r="AA947" s="187"/>
      <c r="AB947" s="187"/>
      <c r="AC947" s="187"/>
      <c r="AD947" s="187"/>
    </row>
    <row r="948">
      <c r="A948" s="114"/>
      <c r="B948" s="114"/>
      <c r="C948" s="114"/>
      <c r="D948" s="113"/>
      <c r="E948" s="114"/>
      <c r="F948" s="114"/>
      <c r="G948" s="114"/>
      <c r="H948" s="114"/>
      <c r="I948" s="114"/>
      <c r="J948" s="114"/>
      <c r="K948" s="114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  <c r="AA948" s="187"/>
      <c r="AB948" s="187"/>
      <c r="AC948" s="187"/>
      <c r="AD948" s="187"/>
    </row>
    <row r="949">
      <c r="A949" s="114"/>
      <c r="B949" s="114"/>
      <c r="C949" s="114"/>
      <c r="D949" s="113"/>
      <c r="E949" s="114"/>
      <c r="F949" s="114"/>
      <c r="G949" s="114"/>
      <c r="H949" s="114"/>
      <c r="I949" s="114"/>
      <c r="J949" s="114"/>
      <c r="K949" s="114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  <c r="AA949" s="187"/>
      <c r="AB949" s="187"/>
      <c r="AC949" s="187"/>
      <c r="AD949" s="187"/>
    </row>
    <row r="950">
      <c r="A950" s="114"/>
      <c r="B950" s="114"/>
      <c r="C950" s="114"/>
      <c r="D950" s="113"/>
      <c r="E950" s="114"/>
      <c r="F950" s="114"/>
      <c r="G950" s="114"/>
      <c r="H950" s="114"/>
      <c r="I950" s="114"/>
      <c r="J950" s="114"/>
      <c r="K950" s="114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  <c r="AA950" s="187"/>
      <c r="AB950" s="187"/>
      <c r="AC950" s="187"/>
      <c r="AD950" s="187"/>
    </row>
    <row r="951">
      <c r="A951" s="114"/>
      <c r="B951" s="114"/>
      <c r="C951" s="114"/>
      <c r="D951" s="113"/>
      <c r="E951" s="114"/>
      <c r="F951" s="114"/>
      <c r="G951" s="114"/>
      <c r="H951" s="114"/>
      <c r="I951" s="114"/>
      <c r="J951" s="114"/>
      <c r="K951" s="114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  <c r="AA951" s="187"/>
      <c r="AB951" s="187"/>
      <c r="AC951" s="187"/>
      <c r="AD951" s="187"/>
    </row>
    <row r="952">
      <c r="A952" s="114"/>
      <c r="B952" s="114"/>
      <c r="C952" s="114"/>
      <c r="D952" s="113"/>
      <c r="E952" s="114"/>
      <c r="F952" s="114"/>
      <c r="G952" s="114"/>
      <c r="H952" s="114"/>
      <c r="I952" s="114"/>
      <c r="J952" s="114"/>
      <c r="K952" s="114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  <c r="AA952" s="187"/>
      <c r="AB952" s="187"/>
      <c r="AC952" s="187"/>
      <c r="AD952" s="187"/>
    </row>
    <row r="953">
      <c r="A953" s="114"/>
      <c r="B953" s="114"/>
      <c r="C953" s="114"/>
      <c r="D953" s="113"/>
      <c r="E953" s="114"/>
      <c r="F953" s="114"/>
      <c r="G953" s="114"/>
      <c r="H953" s="114"/>
      <c r="I953" s="114"/>
      <c r="J953" s="114"/>
      <c r="K953" s="114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  <c r="AA953" s="187"/>
      <c r="AB953" s="187"/>
      <c r="AC953" s="187"/>
      <c r="AD953" s="187"/>
    </row>
    <row r="954">
      <c r="A954" s="114"/>
      <c r="B954" s="114"/>
      <c r="C954" s="114"/>
      <c r="D954" s="113"/>
      <c r="E954" s="114"/>
      <c r="F954" s="114"/>
      <c r="G954" s="114"/>
      <c r="H954" s="114"/>
      <c r="I954" s="114"/>
      <c r="J954" s="114"/>
      <c r="K954" s="114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  <c r="AA954" s="187"/>
      <c r="AB954" s="187"/>
      <c r="AC954" s="187"/>
      <c r="AD954" s="187"/>
    </row>
    <row r="955">
      <c r="A955" s="114"/>
      <c r="B955" s="114"/>
      <c r="C955" s="114"/>
      <c r="D955" s="113"/>
      <c r="E955" s="114"/>
      <c r="F955" s="114"/>
      <c r="G955" s="114"/>
      <c r="H955" s="114"/>
      <c r="I955" s="114"/>
      <c r="J955" s="114"/>
      <c r="K955" s="114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  <c r="AA955" s="187"/>
      <c r="AB955" s="187"/>
      <c r="AC955" s="187"/>
      <c r="AD955" s="187"/>
    </row>
    <row r="956">
      <c r="A956" s="114"/>
      <c r="B956" s="114"/>
      <c r="C956" s="114"/>
      <c r="D956" s="113"/>
      <c r="E956" s="114"/>
      <c r="F956" s="114"/>
      <c r="G956" s="114"/>
      <c r="H956" s="114"/>
      <c r="I956" s="114"/>
      <c r="J956" s="114"/>
      <c r="K956" s="114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  <c r="AA956" s="187"/>
      <c r="AB956" s="187"/>
      <c r="AC956" s="187"/>
      <c r="AD956" s="187"/>
    </row>
    <row r="957">
      <c r="A957" s="114"/>
      <c r="B957" s="114"/>
      <c r="C957" s="114"/>
      <c r="D957" s="113"/>
      <c r="E957" s="114"/>
      <c r="F957" s="114"/>
      <c r="G957" s="114"/>
      <c r="H957" s="114"/>
      <c r="I957" s="114"/>
      <c r="J957" s="114"/>
      <c r="K957" s="114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  <c r="AA957" s="187"/>
      <c r="AB957" s="187"/>
      <c r="AC957" s="187"/>
      <c r="AD957" s="187"/>
    </row>
    <row r="958">
      <c r="A958" s="114"/>
      <c r="B958" s="114"/>
      <c r="C958" s="114"/>
      <c r="D958" s="113"/>
      <c r="E958" s="114"/>
      <c r="F958" s="114"/>
      <c r="G958" s="114"/>
      <c r="H958" s="114"/>
      <c r="I958" s="114"/>
      <c r="J958" s="114"/>
      <c r="K958" s="114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  <c r="AA958" s="187"/>
      <c r="AB958" s="187"/>
      <c r="AC958" s="187"/>
      <c r="AD958" s="187"/>
    </row>
    <row r="959">
      <c r="A959" s="114"/>
      <c r="B959" s="114"/>
      <c r="C959" s="114"/>
      <c r="D959" s="113"/>
      <c r="E959" s="114"/>
      <c r="F959" s="114"/>
      <c r="G959" s="114"/>
      <c r="H959" s="114"/>
      <c r="I959" s="114"/>
      <c r="J959" s="114"/>
      <c r="K959" s="114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  <c r="AA959" s="187"/>
      <c r="AB959" s="187"/>
      <c r="AC959" s="187"/>
      <c r="AD959" s="187"/>
    </row>
    <row r="960">
      <c r="A960" s="114"/>
      <c r="B960" s="114"/>
      <c r="C960" s="114"/>
      <c r="D960" s="113"/>
      <c r="E960" s="114"/>
      <c r="F960" s="114"/>
      <c r="G960" s="114"/>
      <c r="H960" s="114"/>
      <c r="I960" s="114"/>
      <c r="J960" s="114"/>
      <c r="K960" s="114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  <c r="AA960" s="187"/>
      <c r="AB960" s="187"/>
      <c r="AC960" s="187"/>
      <c r="AD960" s="187"/>
    </row>
    <row r="961">
      <c r="A961" s="114"/>
      <c r="B961" s="114"/>
      <c r="C961" s="114"/>
      <c r="D961" s="113"/>
      <c r="E961" s="114"/>
      <c r="F961" s="114"/>
      <c r="G961" s="114"/>
      <c r="H961" s="114"/>
      <c r="I961" s="114"/>
      <c r="J961" s="114"/>
      <c r="K961" s="114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  <c r="AA961" s="187"/>
      <c r="AB961" s="187"/>
      <c r="AC961" s="187"/>
      <c r="AD961" s="187"/>
    </row>
    <row r="962">
      <c r="A962" s="114"/>
      <c r="B962" s="114"/>
      <c r="C962" s="114"/>
      <c r="D962" s="113"/>
      <c r="E962" s="114"/>
      <c r="F962" s="114"/>
      <c r="G962" s="114"/>
      <c r="H962" s="114"/>
      <c r="I962" s="114"/>
      <c r="J962" s="114"/>
      <c r="K962" s="114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  <c r="AA962" s="187"/>
      <c r="AB962" s="187"/>
      <c r="AC962" s="187"/>
      <c r="AD962" s="187"/>
    </row>
    <row r="963">
      <c r="A963" s="114"/>
      <c r="B963" s="114"/>
      <c r="C963" s="114"/>
      <c r="D963" s="113"/>
      <c r="E963" s="114"/>
      <c r="F963" s="114"/>
      <c r="G963" s="114"/>
      <c r="H963" s="114"/>
      <c r="I963" s="114"/>
      <c r="J963" s="114"/>
      <c r="K963" s="114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  <c r="AA963" s="187"/>
      <c r="AB963" s="187"/>
      <c r="AC963" s="187"/>
      <c r="AD963" s="187"/>
    </row>
    <row r="964">
      <c r="A964" s="114"/>
      <c r="B964" s="114"/>
      <c r="C964" s="114"/>
      <c r="D964" s="113"/>
      <c r="E964" s="114"/>
      <c r="F964" s="114"/>
      <c r="G964" s="114"/>
      <c r="H964" s="114"/>
      <c r="I964" s="114"/>
      <c r="J964" s="114"/>
      <c r="K964" s="114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  <c r="AA964" s="187"/>
      <c r="AB964" s="187"/>
      <c r="AC964" s="187"/>
      <c r="AD964" s="187"/>
    </row>
    <row r="965">
      <c r="A965" s="114"/>
      <c r="B965" s="114"/>
      <c r="C965" s="114"/>
      <c r="D965" s="113"/>
      <c r="E965" s="114"/>
      <c r="F965" s="114"/>
      <c r="G965" s="114"/>
      <c r="H965" s="114"/>
      <c r="I965" s="114"/>
      <c r="J965" s="114"/>
      <c r="K965" s="114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  <c r="AA965" s="187"/>
      <c r="AB965" s="187"/>
      <c r="AC965" s="187"/>
      <c r="AD965" s="187"/>
    </row>
    <row r="966">
      <c r="A966" s="114"/>
      <c r="B966" s="114"/>
      <c r="C966" s="114"/>
      <c r="D966" s="113"/>
      <c r="E966" s="114"/>
      <c r="F966" s="114"/>
      <c r="G966" s="114"/>
      <c r="H966" s="114"/>
      <c r="I966" s="114"/>
      <c r="J966" s="114"/>
      <c r="K966" s="114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  <c r="AA966" s="187"/>
      <c r="AB966" s="187"/>
      <c r="AC966" s="187"/>
      <c r="AD966" s="187"/>
    </row>
    <row r="967">
      <c r="A967" s="114"/>
      <c r="B967" s="114"/>
      <c r="C967" s="114"/>
      <c r="D967" s="113"/>
      <c r="E967" s="114"/>
      <c r="F967" s="114"/>
      <c r="G967" s="114"/>
      <c r="H967" s="114"/>
      <c r="I967" s="114"/>
      <c r="J967" s="114"/>
      <c r="K967" s="114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  <c r="AA967" s="187"/>
      <c r="AB967" s="187"/>
      <c r="AC967" s="187"/>
      <c r="AD967" s="187"/>
    </row>
    <row r="968">
      <c r="A968" s="114"/>
      <c r="B968" s="114"/>
      <c r="C968" s="114"/>
      <c r="D968" s="113"/>
      <c r="E968" s="114"/>
      <c r="F968" s="114"/>
      <c r="G968" s="114"/>
      <c r="H968" s="114"/>
      <c r="I968" s="114"/>
      <c r="J968" s="114"/>
      <c r="K968" s="114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  <c r="AA968" s="187"/>
      <c r="AB968" s="187"/>
      <c r="AC968" s="187"/>
      <c r="AD968" s="187"/>
    </row>
    <row r="969">
      <c r="A969" s="114"/>
      <c r="B969" s="114"/>
      <c r="C969" s="114"/>
      <c r="D969" s="113"/>
      <c r="E969" s="114"/>
      <c r="F969" s="114"/>
      <c r="G969" s="114"/>
      <c r="H969" s="114"/>
      <c r="I969" s="114"/>
      <c r="J969" s="114"/>
      <c r="K969" s="114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  <c r="AA969" s="187"/>
      <c r="AB969" s="187"/>
      <c r="AC969" s="187"/>
      <c r="AD969" s="187"/>
    </row>
    <row r="970">
      <c r="A970" s="114"/>
      <c r="B970" s="114"/>
      <c r="C970" s="114"/>
      <c r="D970" s="113"/>
      <c r="E970" s="114"/>
      <c r="F970" s="114"/>
      <c r="G970" s="114"/>
      <c r="H970" s="114"/>
      <c r="I970" s="114"/>
      <c r="J970" s="114"/>
      <c r="K970" s="114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  <c r="AA970" s="187"/>
      <c r="AB970" s="187"/>
      <c r="AC970" s="187"/>
      <c r="AD970" s="187"/>
    </row>
    <row r="971">
      <c r="A971" s="114"/>
      <c r="B971" s="114"/>
      <c r="C971" s="114"/>
      <c r="D971" s="113"/>
      <c r="E971" s="114"/>
      <c r="F971" s="114"/>
      <c r="G971" s="114"/>
      <c r="H971" s="114"/>
      <c r="I971" s="114"/>
      <c r="J971" s="114"/>
      <c r="K971" s="114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  <c r="AA971" s="187"/>
      <c r="AB971" s="187"/>
      <c r="AC971" s="187"/>
      <c r="AD971" s="187"/>
    </row>
    <row r="972">
      <c r="A972" s="114"/>
      <c r="B972" s="114"/>
      <c r="C972" s="114"/>
      <c r="D972" s="113"/>
      <c r="E972" s="114"/>
      <c r="F972" s="114"/>
      <c r="G972" s="114"/>
      <c r="H972" s="114"/>
      <c r="I972" s="114"/>
      <c r="J972" s="114"/>
      <c r="K972" s="114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  <c r="AA972" s="187"/>
      <c r="AB972" s="187"/>
      <c r="AC972" s="187"/>
      <c r="AD972" s="187"/>
    </row>
    <row r="973">
      <c r="A973" s="114"/>
      <c r="B973" s="114"/>
      <c r="C973" s="114"/>
      <c r="D973" s="113"/>
      <c r="E973" s="114"/>
      <c r="F973" s="114"/>
      <c r="G973" s="114"/>
      <c r="H973" s="114"/>
      <c r="I973" s="114"/>
      <c r="J973" s="114"/>
      <c r="K973" s="114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  <c r="AA973" s="187"/>
      <c r="AB973" s="187"/>
      <c r="AC973" s="187"/>
      <c r="AD973" s="187"/>
    </row>
    <row r="974">
      <c r="A974" s="114"/>
      <c r="B974" s="114"/>
      <c r="C974" s="114"/>
      <c r="D974" s="113"/>
      <c r="E974" s="114"/>
      <c r="F974" s="114"/>
      <c r="G974" s="114"/>
      <c r="H974" s="114"/>
      <c r="I974" s="114"/>
      <c r="J974" s="114"/>
      <c r="K974" s="114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  <c r="AA974" s="187"/>
      <c r="AB974" s="187"/>
      <c r="AC974" s="187"/>
      <c r="AD974" s="187"/>
    </row>
    <row r="975">
      <c r="A975" s="114"/>
      <c r="B975" s="114"/>
      <c r="C975" s="114"/>
      <c r="D975" s="113"/>
      <c r="E975" s="114"/>
      <c r="F975" s="114"/>
      <c r="G975" s="114"/>
      <c r="H975" s="114"/>
      <c r="I975" s="114"/>
      <c r="J975" s="114"/>
      <c r="K975" s="114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  <c r="AA975" s="187"/>
      <c r="AB975" s="187"/>
      <c r="AC975" s="187"/>
      <c r="AD975" s="187"/>
    </row>
    <row r="976">
      <c r="A976" s="114"/>
      <c r="B976" s="114"/>
      <c r="C976" s="114"/>
      <c r="D976" s="113"/>
      <c r="E976" s="114"/>
      <c r="F976" s="114"/>
      <c r="G976" s="114"/>
      <c r="H976" s="114"/>
      <c r="I976" s="114"/>
      <c r="J976" s="114"/>
      <c r="K976" s="114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  <c r="AA976" s="187"/>
      <c r="AB976" s="187"/>
      <c r="AC976" s="187"/>
      <c r="AD976" s="187"/>
    </row>
    <row r="977">
      <c r="A977" s="114"/>
      <c r="B977" s="114"/>
      <c r="C977" s="114"/>
      <c r="D977" s="113"/>
      <c r="E977" s="114"/>
      <c r="F977" s="114"/>
      <c r="G977" s="114"/>
      <c r="H977" s="114"/>
      <c r="I977" s="114"/>
      <c r="J977" s="114"/>
      <c r="K977" s="114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  <c r="AA977" s="187"/>
      <c r="AB977" s="187"/>
      <c r="AC977" s="187"/>
      <c r="AD977" s="187"/>
    </row>
    <row r="978">
      <c r="A978" s="114"/>
      <c r="B978" s="114"/>
      <c r="C978" s="114"/>
      <c r="D978" s="113"/>
      <c r="E978" s="114"/>
      <c r="F978" s="114"/>
      <c r="G978" s="114"/>
      <c r="H978" s="114"/>
      <c r="I978" s="114"/>
      <c r="J978" s="114"/>
      <c r="K978" s="114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  <c r="AA978" s="187"/>
      <c r="AB978" s="187"/>
      <c r="AC978" s="187"/>
      <c r="AD978" s="187"/>
    </row>
    <row r="979">
      <c r="A979" s="114"/>
      <c r="B979" s="114"/>
      <c r="C979" s="114"/>
      <c r="D979" s="113"/>
      <c r="E979" s="114"/>
      <c r="F979" s="114"/>
      <c r="G979" s="114"/>
      <c r="H979" s="114"/>
      <c r="I979" s="114"/>
      <c r="J979" s="114"/>
      <c r="K979" s="114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  <c r="AA979" s="187"/>
      <c r="AB979" s="187"/>
      <c r="AC979" s="187"/>
      <c r="AD979" s="187"/>
    </row>
    <row r="980">
      <c r="A980" s="114"/>
      <c r="B980" s="114"/>
      <c r="C980" s="114"/>
      <c r="D980" s="113"/>
      <c r="E980" s="114"/>
      <c r="F980" s="114"/>
      <c r="G980" s="114"/>
      <c r="H980" s="114"/>
      <c r="I980" s="114"/>
      <c r="J980" s="114"/>
      <c r="K980" s="114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  <c r="AA980" s="187"/>
      <c r="AB980" s="187"/>
      <c r="AC980" s="187"/>
      <c r="AD980" s="187"/>
    </row>
    <row r="981">
      <c r="A981" s="114"/>
      <c r="B981" s="114"/>
      <c r="C981" s="114"/>
      <c r="D981" s="113"/>
      <c r="E981" s="114"/>
      <c r="F981" s="114"/>
      <c r="G981" s="114"/>
      <c r="H981" s="114"/>
      <c r="I981" s="114"/>
      <c r="J981" s="114"/>
      <c r="K981" s="114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  <c r="AA981" s="187"/>
      <c r="AB981" s="187"/>
      <c r="AC981" s="187"/>
      <c r="AD981" s="187"/>
    </row>
    <row r="982">
      <c r="A982" s="114"/>
      <c r="B982" s="114"/>
      <c r="C982" s="114"/>
      <c r="D982" s="113"/>
      <c r="E982" s="114"/>
      <c r="F982" s="114"/>
      <c r="G982" s="114"/>
      <c r="H982" s="114"/>
      <c r="I982" s="114"/>
      <c r="J982" s="114"/>
      <c r="K982" s="114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  <c r="AA982" s="187"/>
      <c r="AB982" s="187"/>
      <c r="AC982" s="187"/>
      <c r="AD982" s="187"/>
    </row>
    <row r="983">
      <c r="A983" s="114"/>
      <c r="B983" s="114"/>
      <c r="C983" s="114"/>
      <c r="D983" s="113"/>
      <c r="E983" s="114"/>
      <c r="F983" s="114"/>
      <c r="G983" s="114"/>
      <c r="H983" s="114"/>
      <c r="I983" s="114"/>
      <c r="J983" s="114"/>
      <c r="K983" s="114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  <c r="AA983" s="187"/>
      <c r="AB983" s="187"/>
      <c r="AC983" s="187"/>
      <c r="AD983" s="187"/>
    </row>
    <row r="984">
      <c r="A984" s="114"/>
      <c r="B984" s="114"/>
      <c r="C984" s="114"/>
      <c r="D984" s="113"/>
      <c r="E984" s="114"/>
      <c r="F984" s="114"/>
      <c r="G984" s="114"/>
      <c r="H984" s="114"/>
      <c r="I984" s="114"/>
      <c r="J984" s="114"/>
      <c r="K984" s="114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  <c r="AA984" s="187"/>
      <c r="AB984" s="187"/>
      <c r="AC984" s="187"/>
      <c r="AD984" s="187"/>
    </row>
    <row r="985">
      <c r="A985" s="114"/>
      <c r="B985" s="114"/>
      <c r="C985" s="114"/>
      <c r="D985" s="113"/>
      <c r="E985" s="114"/>
      <c r="F985" s="114"/>
      <c r="G985" s="114"/>
      <c r="H985" s="114"/>
      <c r="I985" s="114"/>
      <c r="J985" s="114"/>
      <c r="K985" s="114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  <c r="AA985" s="187"/>
      <c r="AB985" s="187"/>
      <c r="AC985" s="187"/>
      <c r="AD985" s="187"/>
    </row>
    <row r="986">
      <c r="A986" s="114"/>
      <c r="B986" s="114"/>
      <c r="C986" s="114"/>
      <c r="D986" s="113"/>
      <c r="E986" s="114"/>
      <c r="F986" s="114"/>
      <c r="G986" s="114"/>
      <c r="H986" s="114"/>
      <c r="I986" s="114"/>
      <c r="J986" s="114"/>
      <c r="K986" s="114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  <c r="AA986" s="187"/>
      <c r="AB986" s="187"/>
      <c r="AC986" s="187"/>
      <c r="AD986" s="187"/>
    </row>
    <row r="987">
      <c r="A987" s="114"/>
      <c r="B987" s="114"/>
      <c r="C987" s="114"/>
      <c r="D987" s="113"/>
      <c r="E987" s="114"/>
      <c r="F987" s="114"/>
      <c r="G987" s="114"/>
      <c r="H987" s="114"/>
      <c r="I987" s="114"/>
      <c r="J987" s="114"/>
      <c r="K987" s="114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  <c r="AA987" s="187"/>
      <c r="AB987" s="187"/>
      <c r="AC987" s="187"/>
      <c r="AD987" s="187"/>
    </row>
    <row r="988">
      <c r="A988" s="114"/>
      <c r="B988" s="114"/>
      <c r="C988" s="114"/>
      <c r="D988" s="113"/>
      <c r="E988" s="114"/>
      <c r="F988" s="114"/>
      <c r="G988" s="114"/>
      <c r="H988" s="114"/>
      <c r="I988" s="114"/>
      <c r="J988" s="114"/>
      <c r="K988" s="114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  <c r="AA988" s="187"/>
      <c r="AB988" s="187"/>
      <c r="AC988" s="187"/>
      <c r="AD988" s="187"/>
    </row>
    <row r="989">
      <c r="A989" s="114"/>
      <c r="B989" s="114"/>
      <c r="C989" s="114"/>
      <c r="D989" s="113"/>
      <c r="E989" s="114"/>
      <c r="F989" s="114"/>
      <c r="G989" s="114"/>
      <c r="H989" s="114"/>
      <c r="I989" s="114"/>
      <c r="J989" s="114"/>
      <c r="K989" s="114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  <c r="AA989" s="187"/>
      <c r="AB989" s="187"/>
      <c r="AC989" s="187"/>
      <c r="AD989" s="187"/>
    </row>
    <row r="990">
      <c r="A990" s="114"/>
      <c r="B990" s="114"/>
      <c r="C990" s="114"/>
      <c r="D990" s="113"/>
      <c r="E990" s="114"/>
      <c r="F990" s="114"/>
      <c r="G990" s="114"/>
      <c r="H990" s="114"/>
      <c r="I990" s="114"/>
      <c r="J990" s="114"/>
      <c r="K990" s="114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  <c r="AA990" s="187"/>
      <c r="AB990" s="187"/>
      <c r="AC990" s="187"/>
      <c r="AD990" s="187"/>
    </row>
    <row r="991">
      <c r="A991" s="114"/>
      <c r="B991" s="114"/>
      <c r="C991" s="114"/>
      <c r="D991" s="113"/>
      <c r="E991" s="114"/>
      <c r="F991" s="114"/>
      <c r="G991" s="114"/>
      <c r="H991" s="114"/>
      <c r="I991" s="114"/>
      <c r="J991" s="114"/>
      <c r="K991" s="114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  <c r="AA991" s="187"/>
      <c r="AB991" s="187"/>
      <c r="AC991" s="187"/>
      <c r="AD991" s="187"/>
    </row>
    <row r="992">
      <c r="A992" s="114"/>
      <c r="B992" s="114"/>
      <c r="C992" s="114"/>
      <c r="D992" s="113"/>
      <c r="E992" s="114"/>
      <c r="F992" s="114"/>
      <c r="G992" s="114"/>
      <c r="H992" s="114"/>
      <c r="I992" s="114"/>
      <c r="J992" s="114"/>
      <c r="K992" s="114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  <c r="AA992" s="187"/>
      <c r="AB992" s="187"/>
      <c r="AC992" s="187"/>
      <c r="AD992" s="187"/>
    </row>
  </sheetData>
  <autoFilter ref="$A$1:$AD$992"/>
  <drawing r:id="rId1"/>
</worksheet>
</file>